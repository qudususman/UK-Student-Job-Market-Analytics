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176EAB2B-934F-4C1B-8DE2-BDD6E94ACD7E}" xr6:coauthVersionLast="47" xr6:coauthVersionMax="47" xr10:uidLastSave="{00000000-0000-0000-0000-000000000000}"/>
  <bookViews>
    <workbookView xWindow="-120" yWindow="-120" windowWidth="20730" windowHeight="11160" firstSheet="2" activeTab="2" xr2:uid="{1E77979F-0D06-4BEB-9AD6-ECE6FC478A05}"/>
  </bookViews>
  <sheets>
    <sheet name="Job Market Value" sheetId="8" r:id="rId1"/>
    <sheet name="Sheet4" sheetId="4" r:id="rId2"/>
    <sheet name="Job Market Dashboard" sheetId="6" r:id="rId3"/>
    <sheet name="Global c=Commodities Dashboard" sheetId="2" r:id="rId4"/>
    <sheet name="Sheet1" sheetId="1" r:id="rId5"/>
    <sheet name="UK housing and rent dashboard" sheetId="5" r:id="rId6"/>
    <sheet name="Sheet3" sheetId="3" r:id="rId7"/>
  </sheets>
  <definedNames>
    <definedName name="Slicer_Amount_Type">#N/A</definedName>
    <definedName name="Slicer_Budget_Category">#N/A</definedName>
    <definedName name="Slicer_City">#N/A</definedName>
    <definedName name="Slicer_Job_Role">#N/A</definedName>
    <definedName name="Slicer_Market_Vibe">#N/A</definedName>
    <definedName name="Slicer_Month">#N/A</definedName>
  </definedNames>
  <calcPr calcId="181029"/>
  <pivotCaches>
    <pivotCache cacheId="4" r:id="rId8"/>
    <pivotCache cacheId="5" r:id="rId9"/>
    <pivotCache cacheId="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4" i="8" l="1"/>
  <c r="M13" i="8"/>
  <c r="M12" i="8"/>
  <c r="M11" i="8"/>
</calcChain>
</file>

<file path=xl/sharedStrings.xml><?xml version="1.0" encoding="utf-8"?>
<sst xmlns="http://schemas.openxmlformats.org/spreadsheetml/2006/main" count="508" uniqueCount="137">
  <si>
    <t>Date</t>
  </si>
  <si>
    <t>scenario</t>
  </si>
  <si>
    <t>Gold price</t>
  </si>
  <si>
    <t>Market Vibe</t>
  </si>
  <si>
    <t>Market peak</t>
  </si>
  <si>
    <t>Peace talk</t>
  </si>
  <si>
    <t>Correction</t>
  </si>
  <si>
    <t>ceasefire fail</t>
  </si>
  <si>
    <t>sanction imposed</t>
  </si>
  <si>
    <t>UN security briefing</t>
  </si>
  <si>
    <t>Currency volatillity</t>
  </si>
  <si>
    <t>Boarder esclation</t>
  </si>
  <si>
    <t>oil supply freeze</t>
  </si>
  <si>
    <t>global market panic</t>
  </si>
  <si>
    <t>ceasefire fail signed</t>
  </si>
  <si>
    <t>Troops Withdraw</t>
  </si>
  <si>
    <t>Market rebound</t>
  </si>
  <si>
    <t>Assets unfrozen</t>
  </si>
  <si>
    <t>Technical correction</t>
  </si>
  <si>
    <t>Infrastructure pact</t>
  </si>
  <si>
    <t>Central bank intervention</t>
  </si>
  <si>
    <t>Economic stimulus</t>
  </si>
  <si>
    <t>Commodity stabilization</t>
  </si>
  <si>
    <t>Treaty Ratification</t>
  </si>
  <si>
    <t>logistics corridirs open</t>
  </si>
  <si>
    <t>Trade tariff reduction</t>
  </si>
  <si>
    <t>Tech Sector surge</t>
  </si>
  <si>
    <t>inflation fears strike</t>
  </si>
  <si>
    <t>Bull run resumes</t>
  </si>
  <si>
    <t xml:space="preserve">safe haven demand </t>
  </si>
  <si>
    <t>Cyber attack rumors</t>
  </si>
  <si>
    <t>Supply chain bottleneck</t>
  </si>
  <si>
    <t>Peace envoy dispacthed</t>
  </si>
  <si>
    <t>High Tension</t>
  </si>
  <si>
    <t>Cooling</t>
  </si>
  <si>
    <t>Profit Taking</t>
  </si>
  <si>
    <t>Deep Dip</t>
  </si>
  <si>
    <t>Recovery</t>
  </si>
  <si>
    <t>Row Labels</t>
  </si>
  <si>
    <t>(blank)</t>
  </si>
  <si>
    <t>Grand Total</t>
  </si>
  <si>
    <t>Average of Gold price</t>
  </si>
  <si>
    <t>Oil Impact%</t>
  </si>
  <si>
    <t>valnerability</t>
  </si>
  <si>
    <t>High</t>
  </si>
  <si>
    <t>Medium</t>
  </si>
  <si>
    <t>Low</t>
  </si>
  <si>
    <t xml:space="preserve"> </t>
  </si>
  <si>
    <t>GLOBAL COMMODITIES AND SENTIMENT</t>
  </si>
  <si>
    <t>INTELLIGENCE TERMINAL</t>
  </si>
  <si>
    <t xml:space="preserve">  </t>
  </si>
  <si>
    <t>Budget</t>
  </si>
  <si>
    <t xml:space="preserve"> Budget Category</t>
  </si>
  <si>
    <t>Monthly Amount</t>
  </si>
  <si>
    <t>Street Reality &amp; Strategy</t>
  </si>
  <si>
    <t>Rent&amp;Bills (Shared Hmo)</t>
  </si>
  <si>
    <t>A clean room in a shared student house around Headingley or Hyde park with gas, water, and electricoty included</t>
  </si>
  <si>
    <t>food&amp; groceries</t>
  </si>
  <si>
    <t>Shopping majorly at Aldi and Lidl for cheap poultry/eggs,plus local african stores for your direct nigerian food stuffs</t>
  </si>
  <si>
    <t xml:space="preserve">Local Transport </t>
  </si>
  <si>
    <t>A fully monthly unlimited student bus pass to glide you from your house straight to the leeds trinity campus</t>
  </si>
  <si>
    <t>Mobile Data&amp;SIM</t>
  </si>
  <si>
    <t>A Flexible monthly rolling plan (like VOXI or giffgaff) giving you heavy data to track my GitHub and stay on video calls with home</t>
  </si>
  <si>
    <t>Personal Care &amp; Misc</t>
  </si>
  <si>
    <t xml:space="preserve">Haircuts,toiletries, laundry tokens, and random small personal items </t>
  </si>
  <si>
    <t>Emergency Buffer</t>
  </si>
  <si>
    <t>Cold cash left untoched inside your bank app for unexpected expenses</t>
  </si>
  <si>
    <t>This is the raw monthly survival target</t>
  </si>
  <si>
    <t>Month</t>
  </si>
  <si>
    <t>September</t>
  </si>
  <si>
    <t>December</t>
  </si>
  <si>
    <t>Sum of Monthly Amount</t>
  </si>
  <si>
    <t>Column Labels</t>
  </si>
  <si>
    <t>January</t>
  </si>
  <si>
    <t>Amount Type</t>
  </si>
  <si>
    <t>Actual</t>
  </si>
  <si>
    <t>s</t>
  </si>
  <si>
    <t>UK HOUSING AND RENT DASHBOARD</t>
  </si>
  <si>
    <t>Job Role</t>
  </si>
  <si>
    <t>City</t>
  </si>
  <si>
    <t>Industry</t>
  </si>
  <si>
    <t>Hour Pay</t>
  </si>
  <si>
    <t>Hour Per Week</t>
  </si>
  <si>
    <t>Admin Assistanct</t>
  </si>
  <si>
    <t>IT Support Assistant</t>
  </si>
  <si>
    <t>Data Entry Clerk</t>
  </si>
  <si>
    <t>Library Assistant</t>
  </si>
  <si>
    <t>Student Ambassador</t>
  </si>
  <si>
    <t>Retail Assistant</t>
  </si>
  <si>
    <t>Warehouse Operative</t>
  </si>
  <si>
    <t>Customer Service Assistant</t>
  </si>
  <si>
    <t>Receptionist</t>
  </si>
  <si>
    <t>Care Assistant</t>
  </si>
  <si>
    <t>Leeds</t>
  </si>
  <si>
    <t>Bradford</t>
  </si>
  <si>
    <t>Manchester</t>
  </si>
  <si>
    <t>Sheffield</t>
  </si>
  <si>
    <t>York</t>
  </si>
  <si>
    <t>London</t>
  </si>
  <si>
    <t>Scotland</t>
  </si>
  <si>
    <t>Liverpool</t>
  </si>
  <si>
    <t>Administration</t>
  </si>
  <si>
    <t>Technology</t>
  </si>
  <si>
    <t>Education</t>
  </si>
  <si>
    <t>Retail</t>
  </si>
  <si>
    <t>Logistics</t>
  </si>
  <si>
    <t>Healthcare</t>
  </si>
  <si>
    <t>10/-9/2026</t>
  </si>
  <si>
    <t>13/9/2026</t>
  </si>
  <si>
    <t>14/9/2026</t>
  </si>
  <si>
    <t>15/9/2026</t>
  </si>
  <si>
    <t>16/9/2026</t>
  </si>
  <si>
    <t>17/9/2026</t>
  </si>
  <si>
    <t>18/9/2026</t>
  </si>
  <si>
    <t>19/9/2026</t>
  </si>
  <si>
    <t>20/9/2026</t>
  </si>
  <si>
    <t>21/9/2026</t>
  </si>
  <si>
    <t>22/9/2026</t>
  </si>
  <si>
    <t>23/9/2026</t>
  </si>
  <si>
    <t>24/9/2026</t>
  </si>
  <si>
    <t>25/9/2026</t>
  </si>
  <si>
    <t>26/9/2026</t>
  </si>
  <si>
    <t>27/9/2026</t>
  </si>
  <si>
    <t>28/9/2026</t>
  </si>
  <si>
    <t>29/9/2026</t>
  </si>
  <si>
    <t>30/9/2026</t>
  </si>
  <si>
    <t>13/10/2026</t>
  </si>
  <si>
    <t>14/10/2026</t>
  </si>
  <si>
    <t>15/10/2026</t>
  </si>
  <si>
    <t>16/10/2026</t>
  </si>
  <si>
    <t>17/10/2026</t>
  </si>
  <si>
    <t>18/10/2026</t>
  </si>
  <si>
    <t>19/10/2026</t>
  </si>
  <si>
    <t>20/10/2026</t>
  </si>
  <si>
    <t>Average of Hour Pay</t>
  </si>
  <si>
    <t>Count of Job Role</t>
  </si>
  <si>
    <t>UK STUDENT JOB MARKET &amp; REVENUE ANALYTICS 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</si>
</sst>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809]* #,##0.00_-;\-[$£-809]* #,##0.00_-;_-[$£-809]* &quot;-&quot;??_-;_-@_-"/>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
      <sz val="12"/>
      <color theme="1"/>
      <name val="Calibri"/>
      <family val="2"/>
      <scheme val="minor"/>
    </font>
    <font>
      <b/>
      <sz val="14"/>
      <color theme="2"/>
      <name val="Calibri"/>
      <family val="2"/>
      <scheme val="minor"/>
    </font>
    <font>
      <sz val="11"/>
      <color theme="1" tint="0.14999847407452621"/>
      <name val="Calibri"/>
      <family val="2"/>
      <scheme val="minor"/>
    </font>
    <font>
      <b/>
      <sz val="12"/>
      <color theme="1" tint="0.1499984740745262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1" tint="0.34998626667073579"/>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14" fontId="0" fillId="0" borderId="0" xfId="0" applyNumberFormat="1"/>
    <xf numFmtId="44" fontId="0" fillId="0" borderId="0" xfId="1" applyFont="1"/>
    <xf numFmtId="0" fontId="3" fillId="0" borderId="0" xfId="0" applyFont="1"/>
    <xf numFmtId="0" fontId="3" fillId="2" borderId="0" xfId="0" applyFont="1" applyFill="1"/>
    <xf numFmtId="0" fontId="0" fillId="2" borderId="0" xfId="0" applyFill="1"/>
    <xf numFmtId="0" fontId="2" fillId="2" borderId="0" xfId="0" applyFont="1" applyFill="1"/>
    <xf numFmtId="0" fontId="4" fillId="2" borderId="0" xfId="0" applyFont="1" applyFill="1"/>
    <xf numFmtId="0" fontId="4" fillId="2" borderId="0" xfId="0" applyFont="1" applyFill="1" applyAlignment="1">
      <alignment horizontal="left"/>
    </xf>
    <xf numFmtId="0" fontId="5" fillId="2" borderId="0" xfId="0" applyFont="1" applyFill="1"/>
    <xf numFmtId="0" fontId="6" fillId="2" borderId="0" xfId="0" applyFont="1" applyFill="1"/>
    <xf numFmtId="0" fontId="6" fillId="2"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0" fontId="7" fillId="0" borderId="0" xfId="0" applyFont="1"/>
    <xf numFmtId="164" fontId="0" fillId="0" borderId="0" xfId="0" applyNumberFormat="1"/>
    <xf numFmtId="0" fontId="0" fillId="4" borderId="0" xfId="0" applyFill="1"/>
    <xf numFmtId="0" fontId="0" fillId="4" borderId="0" xfId="0" applyFill="1" applyAlignment="1">
      <alignment horizontal="left"/>
    </xf>
    <xf numFmtId="0" fontId="0" fillId="4" borderId="0" xfId="0" applyNumberFormat="1" applyFill="1"/>
    <xf numFmtId="0" fontId="8" fillId="4" borderId="0" xfId="0" applyFont="1" applyFill="1"/>
    <xf numFmtId="0" fontId="0" fillId="0" borderId="0" xfId="0" applyFont="1"/>
    <xf numFmtId="164" fontId="0" fillId="0" borderId="0" xfId="0" applyNumberFormat="1" applyFont="1"/>
    <xf numFmtId="0" fontId="9" fillId="3" borderId="0" xfId="0" applyFont="1" applyFill="1"/>
    <xf numFmtId="0" fontId="10" fillId="3" borderId="0" xfId="0" applyFont="1" applyFill="1"/>
  </cellXfs>
  <cellStyles count="2">
    <cellStyle name="Currency" xfId="1" builtinId="4"/>
    <cellStyle name="Normal" xfId="0" builtinId="0"/>
  </cellStyles>
  <dxfs count="44">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b val="0"/>
        <i val="0"/>
        <strike val="0"/>
        <condense val="0"/>
        <extend val="0"/>
        <outline val="0"/>
        <shadow val="0"/>
        <u val="none"/>
        <vertAlign val="baseline"/>
        <sz val="11"/>
        <color theme="1"/>
        <name val="Calibri"/>
        <family val="2"/>
        <scheme val="minor"/>
      </font>
    </dxf>
    <dxf>
      <numFmt numFmtId="19" formatCode="m/d/yyyy"/>
    </dxf>
    <dxf>
      <font>
        <color theme="0" tint="-4.9989318521683403E-2"/>
      </font>
    </dxf>
    <dxf>
      <font>
        <color theme="0" tint="-4.9989318521683403E-2"/>
      </fon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164"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[UK-Student-Job-Market-Analytics.xlsx]Job Market Value!PivotTable4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'Job Market Value'!$B$3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'Job Market Value'!$A$4:$A$10</c:f>
              <c:strCache>
                <c:ptCount val="6"/>
                <c:pt idx="0">
                  <c:v>Administration</c:v>
                </c:pt>
                <c:pt idx="1">
                  <c:v>Education</c:v>
                </c:pt>
                <c:pt idx="2">
                  <c:v>Healthcare</c:v>
                </c:pt>
                <c:pt idx="3">
                  <c:v>Logistics</c:v>
                </c:pt>
                <c:pt idx="4">
                  <c:v>Retail</c:v>
                </c:pt>
                <c:pt idx="5">
                  <c:v>Technology</c:v>
                </c:pt>
              </c:strCache>
            </c:strRef>
          </c:cat>
          <c:val>
            <c:numRef>
              <c:f>'Job Market Value'!$B$4:$B$10</c:f>
              <c:numCache>
                <c:formatCode>General</c:formatCode>
                <c:ptCount val="6"/>
                <c:pt idx="0">
                  <c:v>13.666666666666666</c:v>
                </c:pt>
                <c:pt idx="1">
                  <c:v>13.5</c:v>
                </c:pt>
                <c:pt idx="2">
                  <c:v>15</c:v>
                </c:pt>
                <c:pt idx="3">
                  <c:v>13</c:v>
                </c:pt>
                <c:pt idx="4">
                  <c:v>12</c:v>
                </c:pt>
                <c:pt idx="5">
                  <c:v>14</c:v>
                </c:pt>
              </c:numCache>
            </c:numRef>
          </c:val>
          <c:extLst>
            <c:ext xmlns:c16="http://schemas.microsoft.com/office/drawing/2014/chart" uri="{C3380CC4-5D6E-409C-BE32-E72D297353CC}">
              <c16:uniqueId val="{00000000-27B0-4619-9A13-79B55AA0AF50}"/>
            </c:ext>
          </c:extLst>
        </c:ser>
        <c:dLbls>
          <c:showLegendKey val="0"/>
          <c:showVal val="0"/>
          <c:showCatName val="0"/>
          <c:showSerName val="0"/>
          <c:showPercent val="0"/>
          <c:showBubbleSize val="0"/>
        </c:dLbls>
        <c:gapWidth val="150"/>
        <c:shape val="box"/>
        <c:axId val="916628192"/>
        <c:axId val="916630688"/>
        <c:axId val="0"/>
      </c:bar3DChart>
      <c:catAx>
        <c:axId val="91662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630688"/>
        <c:crosses val="autoZero"/>
        <c:auto val="1"/>
        <c:lblAlgn val="ctr"/>
        <c:lblOffset val="100"/>
        <c:noMultiLvlLbl val="0"/>
      </c:catAx>
      <c:valAx>
        <c:axId val="916630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62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[UK-Student-Job-Market-Analytics.xlsx]Job Market Value!PivotTable5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'Job Market Value'!$E$3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E0-4F81-ABC3-1F123E9B62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E0-4F81-ABC3-1F123E9B62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E0-4F81-ABC3-1F123E9B62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EE0-4F81-ABC3-1F123E9B62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EE0-4F81-ABC3-1F123E9B628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EE0-4F81-ABC3-1F123E9B628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EE0-4F81-ABC3-1F123E9B628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EE0-4F81-ABC3-1F123E9B628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EE0-4F81-ABC3-1F123E9B6282}"/>
              </c:ext>
            </c:extLst>
          </c:dPt>
          <c:cat>
            <c:strRef>
              <c:f>'Job Market Value'!$D$4:$D$12</c:f>
              <c:strCache>
                <c:ptCount val="8"/>
                <c:pt idx="0">
                  <c:v>Bradford</c:v>
                </c:pt>
                <c:pt idx="1">
                  <c:v>Leeds</c:v>
                </c:pt>
                <c:pt idx="2">
                  <c:v>Liverpool</c:v>
                </c:pt>
                <c:pt idx="3">
                  <c:v>London</c:v>
                </c:pt>
                <c:pt idx="4">
                  <c:v>Manchester</c:v>
                </c:pt>
                <c:pt idx="5">
                  <c:v>Scotland</c:v>
                </c:pt>
                <c:pt idx="6">
                  <c:v>Sheffield</c:v>
                </c:pt>
                <c:pt idx="7">
                  <c:v>York</c:v>
                </c:pt>
              </c:strCache>
            </c:strRef>
          </c:cat>
          <c:val>
            <c:numRef>
              <c:f>'Job Market Value'!$E$4:$E$12</c:f>
              <c:numCache>
                <c:formatCode>General</c:formatCode>
                <c:ptCount val="8"/>
                <c:pt idx="0">
                  <c:v>14</c:v>
                </c:pt>
                <c:pt idx="1">
                  <c:v>14</c:v>
                </c:pt>
                <c:pt idx="2">
                  <c:v>13</c:v>
                </c:pt>
                <c:pt idx="3">
                  <c:v>13</c:v>
                </c:pt>
                <c:pt idx="4">
                  <c:v>14</c:v>
                </c:pt>
                <c:pt idx="5">
                  <c:v>12</c:v>
                </c:pt>
                <c:pt idx="6">
                  <c:v>14</c:v>
                </c:pt>
                <c:pt idx="7">
                  <c:v>12</c:v>
                </c:pt>
              </c:numCache>
            </c:numRef>
          </c:val>
          <c:extLst>
            <c:ext xmlns:c16="http://schemas.microsoft.com/office/drawing/2014/chart" uri="{C3380CC4-5D6E-409C-BE32-E72D297353CC}">
              <c16:uniqueId val="{00000012-0EE0-4F81-ABC3-1F123E9B6282}"/>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[UK-Student-Job-Market-Analytics.xlsx]Job Market Value!PivotTable7</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Market Value'!$K$3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'Job Market Value'!$J$4:$J$10</c:f>
              <c:strCache>
                <c:ptCount val="6"/>
                <c:pt idx="0">
                  <c:v>Administration</c:v>
                </c:pt>
                <c:pt idx="1">
                  <c:v>Education</c:v>
                </c:pt>
                <c:pt idx="2">
                  <c:v>Healthcare</c:v>
                </c:pt>
                <c:pt idx="3">
                  <c:v>Logistics</c:v>
                </c:pt>
                <c:pt idx="4">
                  <c:v>Retail</c:v>
                </c:pt>
                <c:pt idx="5">
                  <c:v>Technology</c:v>
                </c:pt>
              </c:strCache>
            </c:strRef>
          </c:cat>
          <c:val>
            <c:numRef>
              <c:f>'Job Market Value'!$K$4:$K$10</c:f>
              <c:numCache>
                <c:formatCode>General</c:formatCode>
                <c:ptCount val="6"/>
                <c:pt idx="0">
                  <c:v>15</c:v>
                </c:pt>
                <c:pt idx="1">
                  <c:v>10</c:v>
                </c:pt>
                <c:pt idx="2">
                  <c:v>5</c:v>
                </c:pt>
                <c:pt idx="3">
                  <c:v>5</c:v>
                </c:pt>
                <c:pt idx="4">
                  <c:v>10</c:v>
                </c:pt>
                <c:pt idx="5">
                  <c:v>5</c:v>
                </c:pt>
              </c:numCache>
            </c:numRef>
          </c:val>
          <c:smooth val="0"/>
          <c:extLst>
            <c:ext xmlns:c16="http://schemas.microsoft.com/office/drawing/2014/chart" uri="{C3380CC4-5D6E-409C-BE32-E72D297353CC}">
              <c16:uniqueId val="{00000000-24C5-4C81-8889-CA045D810469}"/>
            </c:ext>
          </c:extLst>
        </c:ser>
        <c:dLbls>
          <c:dLblPos val="ctr"/>
          <c:showLegendKey val="0"/>
          <c:showVal val="1"/>
          <c:showCatName val="0"/>
          <c:showSerName val="0"/>
          <c:showPercent val="0"/>
          <c:showBubbleSize val="0"/>
        </c:dLbls>
        <c:marker val="1"/>
        <c:smooth val="0"/>
        <c:axId val="923818608"/>
        <c:axId val="923816112"/>
      </c:lineChart>
      <c:catAx>
        <c:axId val="923818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816112"/>
        <c:crosses val="autoZero"/>
        <c:auto val="1"/>
        <c:lblAlgn val="ctr"/>
        <c:lblOffset val="100"/>
        <c:noMultiLvlLbl val="0"/>
      </c:catAx>
      <c:valAx>
        <c:axId val="923816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81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Oil Impact%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Sheet1!$B$2:$B$31</c:f>
              <c:strCache>
                <c:ptCount val="29"/>
                <c:pt idx="0">
                  <c:v>Market peak</c:v>
                </c:pt>
                <c:pt idx="1">
                  <c:v>Peace talk</c:v>
                </c:pt>
                <c:pt idx="2">
                  <c:v>Correction</c:v>
                </c:pt>
                <c:pt idx="3">
                  <c:v>ceasefire fail</c:v>
                </c:pt>
                <c:pt idx="4">
                  <c:v>sanction imposed</c:v>
                </c:pt>
                <c:pt idx="5">
                  <c:v>UN security briefing</c:v>
                </c:pt>
                <c:pt idx="6">
                  <c:v>Currency volatillity</c:v>
                </c:pt>
                <c:pt idx="7">
                  <c:v>Boarder esclation</c:v>
                </c:pt>
                <c:pt idx="8">
                  <c:v>oil supply freeze</c:v>
                </c:pt>
                <c:pt idx="9">
                  <c:v>global market panic</c:v>
                </c:pt>
                <c:pt idx="10">
                  <c:v>ceasefire fail signed</c:v>
                </c:pt>
                <c:pt idx="11">
                  <c:v>Troops Withdraw</c:v>
                </c:pt>
                <c:pt idx="12">
                  <c:v>Market rebound</c:v>
                </c:pt>
                <c:pt idx="13">
                  <c:v>Assets unfrozen</c:v>
                </c:pt>
                <c:pt idx="14">
                  <c:v>Technical correction</c:v>
                </c:pt>
                <c:pt idx="15">
                  <c:v>Infrastructure pact</c:v>
                </c:pt>
                <c:pt idx="16">
                  <c:v>Central bank intervention</c:v>
                </c:pt>
                <c:pt idx="17">
                  <c:v>Economic stimulus</c:v>
                </c:pt>
                <c:pt idx="18">
                  <c:v>Commodity stabilization</c:v>
                </c:pt>
                <c:pt idx="19">
                  <c:v>Treaty Ratification</c:v>
                </c:pt>
                <c:pt idx="20">
                  <c:v>logistics corridirs open</c:v>
                </c:pt>
                <c:pt idx="21">
                  <c:v>Trade tariff reduction</c:v>
                </c:pt>
                <c:pt idx="22">
                  <c:v>Tech Sector surge</c:v>
                </c:pt>
                <c:pt idx="23">
                  <c:v>inflation fears strike</c:v>
                </c:pt>
                <c:pt idx="24">
                  <c:v>Bull run resumes</c:v>
                </c:pt>
                <c:pt idx="25">
                  <c:v>safe haven demand </c:v>
                </c:pt>
                <c:pt idx="26">
                  <c:v>Cyber attack rumors</c:v>
                </c:pt>
                <c:pt idx="27">
                  <c:v>Supply chain bottleneck</c:v>
                </c:pt>
                <c:pt idx="28">
                  <c:v>Peace envoy dispacthed</c:v>
                </c:pt>
              </c:strCache>
            </c:strRef>
          </c:cat>
          <c:val>
            <c:numRef>
              <c:f>Sheet1!$E$2:$E$31</c:f>
              <c:numCache>
                <c:formatCode>General</c:formatCode>
                <c:ptCount val="30"/>
                <c:pt idx="0">
                  <c:v>2.5</c:v>
                </c:pt>
                <c:pt idx="1">
                  <c:v>1.8</c:v>
                </c:pt>
                <c:pt idx="2">
                  <c:v>-1.2</c:v>
                </c:pt>
                <c:pt idx="3">
                  <c:v>4.5</c:v>
                </c:pt>
                <c:pt idx="4">
                  <c:v>5.2</c:v>
                </c:pt>
                <c:pt idx="5">
                  <c:v>1.5</c:v>
                </c:pt>
                <c:pt idx="6">
                  <c:v>-0.5</c:v>
                </c:pt>
                <c:pt idx="7">
                  <c:v>5.8</c:v>
                </c:pt>
                <c:pt idx="8">
                  <c:v>6</c:v>
                </c:pt>
                <c:pt idx="9">
                  <c:v>6.7</c:v>
                </c:pt>
                <c:pt idx="10">
                  <c:v>2.4</c:v>
                </c:pt>
                <c:pt idx="11">
                  <c:v>5</c:v>
                </c:pt>
                <c:pt idx="12">
                  <c:v>4.5999999999999996</c:v>
                </c:pt>
                <c:pt idx="13">
                  <c:v>0.2</c:v>
                </c:pt>
                <c:pt idx="14">
                  <c:v>4.8</c:v>
                </c:pt>
                <c:pt idx="15">
                  <c:v>2.2999999999999998</c:v>
                </c:pt>
                <c:pt idx="16">
                  <c:v>4.3</c:v>
                </c:pt>
                <c:pt idx="17">
                  <c:v>3.4</c:v>
                </c:pt>
                <c:pt idx="18">
                  <c:v>2.1</c:v>
                </c:pt>
                <c:pt idx="19">
                  <c:v>5</c:v>
                </c:pt>
                <c:pt idx="20">
                  <c:v>4.0999999999999996</c:v>
                </c:pt>
                <c:pt idx="21">
                  <c:v>4.2</c:v>
                </c:pt>
                <c:pt idx="22">
                  <c:v>4</c:v>
                </c:pt>
                <c:pt idx="23">
                  <c:v>1.7</c:v>
                </c:pt>
                <c:pt idx="24">
                  <c:v>6.5</c:v>
                </c:pt>
                <c:pt idx="25">
                  <c:v>9</c:v>
                </c:pt>
                <c:pt idx="26">
                  <c:v>7.3</c:v>
                </c:pt>
                <c:pt idx="27">
                  <c:v>8.1999999999999993</c:v>
                </c:pt>
                <c:pt idx="28">
                  <c:v>5.5</c:v>
                </c:pt>
              </c:numCache>
            </c:numRef>
          </c:val>
          <c:extLst>
            <c:ext xmlns:c16="http://schemas.microsoft.com/office/drawing/2014/chart" uri="{C3380CC4-5D6E-409C-BE32-E72D297353CC}">
              <c16:uniqueId val="{00000000-D194-444F-91F1-0C0B5B574A0F}"/>
            </c:ext>
          </c:extLst>
        </c:ser>
        <c:dLbls>
          <c:dLblPos val="inEnd"/>
          <c:showLegendKey val="0"/>
          <c:showVal val="1"/>
          <c:showCatName val="0"/>
          <c:showSerName val="0"/>
          <c:showPercent val="0"/>
          <c:showBubbleSize val="0"/>
        </c:dLbls>
        <c:gapWidth val="41"/>
        <c:axId val="1719857008"/>
        <c:axId val="1719850768"/>
      </c:barChart>
      <c:catAx>
        <c:axId val="171985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19850768"/>
        <c:crosses val="autoZero"/>
        <c:auto val="1"/>
        <c:lblAlgn val="ctr"/>
        <c:lblOffset val="100"/>
        <c:noMultiLvlLbl val="0"/>
      </c:catAx>
      <c:valAx>
        <c:axId val="1719850768"/>
        <c:scaling>
          <c:orientation val="minMax"/>
        </c:scaling>
        <c:delete val="1"/>
        <c:axPos val="l"/>
        <c:numFmt formatCode="General" sourceLinked="1"/>
        <c:majorTickMark val="none"/>
        <c:minorTickMark val="none"/>
        <c:tickLblPos val="nextTo"/>
        <c:crossAx val="171985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[UK-Student-Job-Market-Analytics.xlsx]Global c=Commodities Dashboard!PivotTable1</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'Global c=Commodities Dashboard'!$B$3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7A-4C42-B7B2-728D6B6577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7A-4C42-B7B2-728D6B6577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7A-4C42-B7B2-728D6B6577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7A-4C42-B7B2-728D6B6577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7A-4C42-B7B2-728D6B6577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7A-4C42-B7B2-728D6B65771B}"/>
              </c:ext>
            </c:extLst>
          </c:dPt>
          <c:cat>
            <c:strRef>
              <c:f>'Global c=Commodities Dashboard'!$A$4:$A$10</c:f>
              <c:strCache>
                <c:ptCount val="6"/>
                <c:pt idx="0">
                  <c:v>Cooling</c:v>
                </c:pt>
                <c:pt idx="1">
                  <c:v>Deep Dip</c:v>
                </c:pt>
                <c:pt idx="2">
                  <c:v>High Tension</c:v>
                </c:pt>
                <c:pt idx="3">
                  <c:v>Profit Taking</c:v>
                </c:pt>
                <c:pt idx="4">
                  <c:v>Recovery</c:v>
                </c:pt>
                <c:pt idx="5">
                  <c:v>(blank)</c:v>
                </c:pt>
              </c:strCache>
            </c:strRef>
          </c:cat>
          <c:val>
            <c:numRef>
              <c:f>'Global c=Commodities Dashboard'!$B$4:$B$10</c:f>
              <c:numCache>
                <c:formatCode>General</c:formatCode>
                <c:ptCount val="6"/>
                <c:pt idx="0">
                  <c:v>5122</c:v>
                </c:pt>
                <c:pt idx="1">
                  <c:v>4626</c:v>
                </c:pt>
                <c:pt idx="2">
                  <c:v>5360</c:v>
                </c:pt>
                <c:pt idx="3">
                  <c:v>4920</c:v>
                </c:pt>
                <c:pt idx="4">
                  <c:v>4898</c:v>
                </c:pt>
              </c:numCache>
            </c:numRef>
          </c:val>
          <c:extLst>
            <c:ext xmlns:c16="http://schemas.microsoft.com/office/drawing/2014/chart" uri="{C3380CC4-5D6E-409C-BE32-E72D297353CC}">
              <c16:uniqueId val="{00000000-DE91-4E49-A246-4AF4ED4F78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(Sheet1!$A$1:$A$30,Sheet1!$F$1:$F$30)</c:f>
              <c:multiLvlStrCache>
                <c:ptCount val="2"/>
                <c:lvl>
                  <c:pt idx="0">
                    <c:v>5/17/2026</c:v>
                  </c:pt>
                  <c:pt idx="1">
                    <c:v>Low</c:v>
                  </c:pt>
                </c:lvl>
                <c:lvl>
                  <c:pt idx="0">
                    <c:v>5/16/2026</c:v>
                  </c:pt>
                  <c:pt idx="1">
                    <c:v>Medium</c:v>
                  </c:pt>
                </c:lvl>
                <c:lvl>
                  <c:pt idx="0">
                    <c:v>5/15/2026</c:v>
                  </c:pt>
                  <c:pt idx="1">
                    <c:v>Medium</c:v>
                  </c:pt>
                </c:lvl>
                <c:lvl>
                  <c:pt idx="0">
                    <c:v>5/14/2026</c:v>
                  </c:pt>
                  <c:pt idx="1">
                    <c:v>High</c:v>
                  </c:pt>
                </c:lvl>
                <c:lvl>
                  <c:pt idx="0">
                    <c:v>5/13/2026</c:v>
                  </c:pt>
                  <c:pt idx="1">
                    <c:v>High</c:v>
                  </c:pt>
                </c:lvl>
                <c:lvl>
                  <c:pt idx="0">
                    <c:v>5/12/2026</c:v>
                  </c:pt>
                  <c:pt idx="1">
                    <c:v>High</c:v>
                  </c:pt>
                </c:lvl>
                <c:lvl>
                  <c:pt idx="0">
                    <c:v>5/11/2026</c:v>
                  </c:pt>
                  <c:pt idx="1">
                    <c:v>High</c:v>
                  </c:pt>
                </c:lvl>
                <c:lvl>
                  <c:pt idx="0">
                    <c:v>5/10/2026</c:v>
                  </c:pt>
                  <c:pt idx="1">
                    <c:v>High</c:v>
                  </c:pt>
                </c:lvl>
                <c:lvl>
                  <c:pt idx="0">
                    <c:v>5/9/2026</c:v>
                  </c:pt>
                  <c:pt idx="1">
                    <c:v>Low</c:v>
                  </c:pt>
                </c:lvl>
                <c:lvl>
                  <c:pt idx="0">
                    <c:v>5/8/2026</c:v>
                  </c:pt>
                  <c:pt idx="1">
                    <c:v>Low</c:v>
                  </c:pt>
                </c:lvl>
                <c:lvl>
                  <c:pt idx="0">
                    <c:v>5/7/2026</c:v>
                  </c:pt>
                  <c:pt idx="1">
                    <c:v>Low</c:v>
                  </c:pt>
                </c:lvl>
                <c:lvl>
                  <c:pt idx="0">
                    <c:v>5/6/2026</c:v>
                  </c:pt>
                  <c:pt idx="1">
                    <c:v>Medium</c:v>
                  </c:pt>
                </c:lvl>
                <c:lvl>
                  <c:pt idx="0">
                    <c:v>5/5/2026</c:v>
                  </c:pt>
                  <c:pt idx="1">
                    <c:v>Medium</c:v>
                  </c:pt>
                </c:lvl>
                <c:lvl>
                  <c:pt idx="0">
                    <c:v>5/4/2026</c:v>
                  </c:pt>
                  <c:pt idx="1">
                    <c:v>Low</c:v>
                  </c:pt>
                </c:lvl>
                <c:lvl>
                  <c:pt idx="0">
                    <c:v>5/3/2026</c:v>
                  </c:pt>
                  <c:pt idx="1">
                    <c:v>Low</c:v>
                  </c:pt>
                </c:lvl>
                <c:lvl>
                  <c:pt idx="0">
                    <c:v>5/2/2026</c:v>
                  </c:pt>
                  <c:pt idx="1">
                    <c:v>Low</c:v>
                  </c:pt>
                </c:lvl>
                <c:lvl>
                  <c:pt idx="0">
                    <c:v>5/1/2026</c:v>
                  </c:pt>
                  <c:pt idx="1">
                    <c:v>Low</c:v>
                  </c:pt>
                </c:lvl>
                <c:lvl>
                  <c:pt idx="0">
                    <c:v>4/30/2026</c:v>
                  </c:pt>
                  <c:pt idx="1">
                    <c:v>High</c:v>
                  </c:pt>
                </c:lvl>
                <c:lvl>
                  <c:pt idx="0">
                    <c:v>4/29/2026</c:v>
                  </c:pt>
                  <c:pt idx="1">
                    <c:v>High</c:v>
                  </c:pt>
                </c:lvl>
                <c:lvl>
                  <c:pt idx="0">
                    <c:v>4/28/2026</c:v>
                  </c:pt>
                  <c:pt idx="1">
                    <c:v>High</c:v>
                  </c:pt>
                </c:lvl>
                <c:lvl>
                  <c:pt idx="0">
                    <c:v>4/27/2026</c:v>
                  </c:pt>
                  <c:pt idx="1">
                    <c:v>Medium</c:v>
                  </c:pt>
                </c:lvl>
                <c:lvl>
                  <c:pt idx="0">
                    <c:v>4/26/2026</c:v>
                  </c:pt>
                  <c:pt idx="1">
                    <c:v>High</c:v>
                  </c:pt>
                </c:lvl>
                <c:lvl>
                  <c:pt idx="0">
                    <c:v>4/25/2026</c:v>
                  </c:pt>
                  <c:pt idx="1">
                    <c:v>High</c:v>
                  </c:pt>
                </c:lvl>
                <c:lvl>
                  <c:pt idx="0">
                    <c:v>4/24/2026</c:v>
                  </c:pt>
                  <c:pt idx="1">
                    <c:v>Medium</c:v>
                  </c:pt>
                </c:lvl>
                <c:lvl>
                  <c:pt idx="0">
                    <c:v>4/23/2026</c:v>
                  </c:pt>
                  <c:pt idx="1">
                    <c:v>High</c:v>
                  </c:pt>
                </c:lvl>
                <c:lvl>
                  <c:pt idx="0">
                    <c:v>4/22/2026</c:v>
                  </c:pt>
                  <c:pt idx="1">
                    <c:v>High</c:v>
                  </c:pt>
                </c:lvl>
                <c:lvl>
                  <c:pt idx="0">
                    <c:v>4/21/2026</c:v>
                  </c:pt>
                  <c:pt idx="1">
                    <c:v>Low</c:v>
                  </c:pt>
                </c:lvl>
                <c:lvl>
                  <c:pt idx="0">
                    <c:v>4/20/2026</c:v>
                  </c:pt>
                  <c:pt idx="1">
                    <c:v>Medium</c:v>
                  </c:pt>
                </c:lvl>
                <c:lvl>
                  <c:pt idx="0">
                    <c:v>4/19/2026</c:v>
                  </c:pt>
                  <c:pt idx="1">
                    <c:v>High</c:v>
                  </c:pt>
                </c:lvl>
                <c:lvl>
                  <c:pt idx="0">
                    <c:v>Date</c:v>
                  </c:pt>
                  <c:pt idx="1">
                    <c:v>valnerability</c:v>
                  </c:pt>
                </c:lvl>
              </c:multiLvlStrCache>
            </c:multiLvlStrRef>
          </c:cat>
          <c:val>
            <c:numRef>
              <c:f>(Sheet1!$A$31,Sheet1!$F$31)</c:f>
              <c:numCache>
                <c:formatCode>General</c:formatCode>
                <c:ptCount val="2"/>
              </c:numCache>
            </c:numRef>
          </c:val>
          <c:smooth val="0"/>
          <c:extLst>
            <c:ext xmlns:c16="http://schemas.microsoft.com/office/drawing/2014/chart" uri="{C3380CC4-5D6E-409C-BE32-E72D297353CC}">
              <c16:uniqueId val="{00000000-9949-46B5-9918-DCA5DAC9F007}"/>
            </c:ext>
          </c:extLst>
        </c:ser>
        <c:dLbls>
          <c:showLegendKey val="0"/>
          <c:showVal val="1"/>
          <c:showCatName val="0"/>
          <c:showSerName val="0"/>
          <c:showPercent val="0"/>
          <c:showBubbleSize val="0"/>
        </c:dLbls>
        <c:smooth val="0"/>
        <c:axId val="1649757152"/>
        <c:axId val="1649735520"/>
      </c:lineChart>
      <c:catAx>
        <c:axId val="164975715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35520"/>
        <c:crosses val="autoZero"/>
        <c:auto val="1"/>
        <c:lblAlgn val="ctr"/>
        <c:lblOffset val="100"/>
        <c:noMultiLvlLbl val="0"/>
      </c:catAx>
      <c:valAx>
        <c:axId val="164973552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57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8333333333333334E-2"/>
          <c:y val="0.2452548118985127"/>
          <c:w val="0.77012051618547683"/>
          <c:h val="0.75474518810148727"/>
        </c:manualLayout>
      </c:layout>
      <c:ofPieChart>
        <c:ofPieType val="pie"/>
        <c:varyColors val="1"/>
        <c:ser>
          <c:idx val="0"/>
          <c:order val="0"/>
          <c:tx>
            <c:strRef>
              <c:f>Sheet1!$C$1</c:f>
              <c:strCache>
                <c:ptCount val="1"/>
                <c:pt idx="0">
                  <c:v> Gold price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B8-497C-A9E9-8B78AAA62B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B8-497C-A9E9-8B78AAA62B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B8-497C-A9E9-8B78AAA62B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B8-497C-A9E9-8B78AAA62B5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3B8-497C-A9E9-8B78AAA62B5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3B8-497C-A9E9-8B78AAA62B5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3B8-497C-A9E9-8B78AAA62B5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3B8-497C-A9E9-8B78AAA62B5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3B8-497C-A9E9-8B78AAA62B5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3B8-497C-A9E9-8B78AAA62B5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3B8-497C-A9E9-8B78AAA62B5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3B8-497C-A9E9-8B78AAA62B5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3B8-497C-A9E9-8B78AAA62B5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3B8-497C-A9E9-8B78AAA62B5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3B8-497C-A9E9-8B78AAA62B5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3B8-497C-A9E9-8B78AAA62B5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3B8-497C-A9E9-8B78AAA62B5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3B8-497C-A9E9-8B78AAA62B5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3B8-497C-A9E9-8B78AAA62B5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3B8-497C-A9E9-8B78AAA62B5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3B8-497C-A9E9-8B78AAA62B5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3B8-497C-A9E9-8B78AAA62B5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63B8-497C-A9E9-8B78AAA62B5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63B8-497C-A9E9-8B78AAA62B5B}"/>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63B8-497C-A9E9-8B78AAA62B5B}"/>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63B8-497C-A9E9-8B78AAA62B5B}"/>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3B8-497C-A9E9-8B78AAA62B5B}"/>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3B8-497C-A9E9-8B78AAA62B5B}"/>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63B8-497C-A9E9-8B78AAA62B5B}"/>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63B8-497C-A9E9-8B78AAA62B5B}"/>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63B8-497C-A9E9-8B78AAA62B5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Sheet1!$A$2:$A$31</c:f>
              <c:numCache>
                <c:formatCode>m/d/yyyy</c:formatCode>
                <c:ptCount val="30"/>
                <c:pt idx="0">
                  <c:v>46131</c:v>
                </c:pt>
                <c:pt idx="1">
                  <c:v>46132</c:v>
                </c:pt>
                <c:pt idx="2">
                  <c:v>46133</c:v>
                </c:pt>
                <c:pt idx="3">
                  <c:v>46134</c:v>
                </c:pt>
                <c:pt idx="4">
                  <c:v>46135</c:v>
                </c:pt>
                <c:pt idx="5">
                  <c:v>46136</c:v>
                </c:pt>
                <c:pt idx="6">
                  <c:v>46137</c:v>
                </c:pt>
                <c:pt idx="7">
                  <c:v>46138</c:v>
                </c:pt>
                <c:pt idx="8">
                  <c:v>46139</c:v>
                </c:pt>
                <c:pt idx="9">
                  <c:v>46140</c:v>
                </c:pt>
                <c:pt idx="10">
                  <c:v>46141</c:v>
                </c:pt>
                <c:pt idx="11">
                  <c:v>46142</c:v>
                </c:pt>
                <c:pt idx="12">
                  <c:v>46143</c:v>
                </c:pt>
                <c:pt idx="13">
                  <c:v>46144</c:v>
                </c:pt>
                <c:pt idx="14">
                  <c:v>46145</c:v>
                </c:pt>
                <c:pt idx="15">
                  <c:v>46146</c:v>
                </c:pt>
                <c:pt idx="16">
                  <c:v>46147</c:v>
                </c:pt>
                <c:pt idx="17">
                  <c:v>46148</c:v>
                </c:pt>
                <c:pt idx="18">
                  <c:v>46149</c:v>
                </c:pt>
                <c:pt idx="19">
                  <c:v>46150</c:v>
                </c:pt>
                <c:pt idx="20">
                  <c:v>46151</c:v>
                </c:pt>
                <c:pt idx="21">
                  <c:v>46152</c:v>
                </c:pt>
                <c:pt idx="22">
                  <c:v>46153</c:v>
                </c:pt>
                <c:pt idx="23">
                  <c:v>46154</c:v>
                </c:pt>
                <c:pt idx="24">
                  <c:v>46155</c:v>
                </c:pt>
                <c:pt idx="25">
                  <c:v>46156</c:v>
                </c:pt>
                <c:pt idx="26">
                  <c:v>46157</c:v>
                </c:pt>
                <c:pt idx="27">
                  <c:v>46158</c:v>
                </c:pt>
                <c:pt idx="28">
                  <c:v>46159</c:v>
                </c:pt>
              </c:numCache>
            </c:numRef>
          </c:cat>
          <c:val>
            <c:numRef>
              <c:f>Sheet1!$C$2:$C$31</c:f>
              <c:numCache>
                <c:formatCode>_("$"* #,##0.00_);_("$"* \(#,##0.00\);_("$"* "-"??_);_(@_)</c:formatCode>
                <c:ptCount val="30"/>
                <c:pt idx="0">
                  <c:v>5100</c:v>
                </c:pt>
                <c:pt idx="1">
                  <c:v>4950</c:v>
                </c:pt>
                <c:pt idx="2">
                  <c:v>4800</c:v>
                </c:pt>
                <c:pt idx="3">
                  <c:v>5250</c:v>
                </c:pt>
                <c:pt idx="4">
                  <c:v>5300</c:v>
                </c:pt>
                <c:pt idx="5">
                  <c:v>5150</c:v>
                </c:pt>
                <c:pt idx="6">
                  <c:v>5000</c:v>
                </c:pt>
                <c:pt idx="7">
                  <c:v>5400</c:v>
                </c:pt>
                <c:pt idx="8">
                  <c:v>5500</c:v>
                </c:pt>
                <c:pt idx="9">
                  <c:v>5350</c:v>
                </c:pt>
                <c:pt idx="10">
                  <c:v>5420</c:v>
                </c:pt>
                <c:pt idx="11">
                  <c:v>5600</c:v>
                </c:pt>
                <c:pt idx="12">
                  <c:v>4400</c:v>
                </c:pt>
                <c:pt idx="13">
                  <c:v>4350</c:v>
                </c:pt>
                <c:pt idx="14">
                  <c:v>4500</c:v>
                </c:pt>
                <c:pt idx="15">
                  <c:v>4650</c:v>
                </c:pt>
                <c:pt idx="16">
                  <c:v>4700</c:v>
                </c:pt>
                <c:pt idx="17">
                  <c:v>4800</c:v>
                </c:pt>
                <c:pt idx="18">
                  <c:v>4620</c:v>
                </c:pt>
                <c:pt idx="19">
                  <c:v>4780</c:v>
                </c:pt>
                <c:pt idx="20">
                  <c:v>4850</c:v>
                </c:pt>
                <c:pt idx="21">
                  <c:v>5200</c:v>
                </c:pt>
                <c:pt idx="22">
                  <c:v>5350</c:v>
                </c:pt>
                <c:pt idx="23">
                  <c:v>5450</c:v>
                </c:pt>
                <c:pt idx="24">
                  <c:v>5380</c:v>
                </c:pt>
                <c:pt idx="25">
                  <c:v>5210</c:v>
                </c:pt>
                <c:pt idx="26">
                  <c:v>5180</c:v>
                </c:pt>
                <c:pt idx="27">
                  <c:v>5290</c:v>
                </c:pt>
                <c:pt idx="28">
                  <c:v>4980</c:v>
                </c:pt>
              </c:numCache>
            </c:numRef>
          </c:val>
          <c:extLst>
            <c:ext xmlns:c16="http://schemas.microsoft.com/office/drawing/2014/chart" uri="{C3380CC4-5D6E-409C-BE32-E72D297353CC}">
              <c16:uniqueId val="{0000003E-63B8-497C-A9E9-8B78AAA62B5B}"/>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[UK-Student-Job-Market-Analytics.xlsx]UK housing and rent dashboard!PivotTable2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'UK housing and rent dashboard'!$B$3:$B$4</c:f>
              <c:strCache>
                <c:ptCount val="1"/>
                <c:pt idx="0">
                  <c:v>September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dashboard'!$B$5:$B$12</c:f>
              <c:numCache>
                <c:formatCode>General</c:formatCode>
                <c:ptCount val="7"/>
                <c:pt idx="0">
                  <c:v>50</c:v>
                </c:pt>
                <c:pt idx="1">
                  <c:v>150</c:v>
                </c:pt>
                <c:pt idx="2">
                  <c:v>60</c:v>
                </c:pt>
                <c:pt idx="3">
                  <c:v>15</c:v>
                </c:pt>
                <c:pt idx="4">
                  <c:v>50</c:v>
                </c:pt>
              </c:numCache>
            </c:numRef>
          </c:val>
          <c:extLst>
            <c:ext xmlns:c16="http://schemas.microsoft.com/office/drawing/2014/chart" uri="{C3380CC4-5D6E-409C-BE32-E72D297353CC}">
              <c16:uniqueId val="{00000000-0C38-4181-967B-C07D420D8E50}"/>
            </c:ext>
          </c:extLst>
        </c:ser>
        <c:ser>
          <c:idx val="1"/>
          <c:order val="1"/>
          <c:tx>
            <c:strRef>
              <c:f>'UK housing and rent dashboard'!$C$3:$C$4</c:f>
              <c:strCache>
                <c:ptCount val="1"/>
                <c:pt idx="0">
                  <c:v>December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dashboard'!$C$5:$C$12</c:f>
              <c:numCache>
                <c:formatCode>General</c:formatCode>
                <c:ptCount val="7"/>
                <c:pt idx="0">
                  <c:v>50</c:v>
                </c:pt>
                <c:pt idx="1">
                  <c:v>150</c:v>
                </c:pt>
                <c:pt idx="3">
                  <c:v>15</c:v>
                </c:pt>
                <c:pt idx="4">
                  <c:v>50</c:v>
                </c:pt>
                <c:pt idx="5">
                  <c:v>450</c:v>
                </c:pt>
              </c:numCache>
            </c:numRef>
          </c:val>
          <c:extLst>
            <c:ext xmlns:c16="http://schemas.microsoft.com/office/drawing/2014/chart" uri="{C3380CC4-5D6E-409C-BE32-E72D297353CC}">
              <c16:uniqueId val="{00000007-0C38-4181-967B-C07D420D8E50}"/>
            </c:ext>
          </c:extLst>
        </c:ser>
        <c:ser>
          <c:idx val="2"/>
          <c:order val="2"/>
          <c:tx>
            <c:strRef>
              <c:f>'UK housing and rent dashboard'!$D$3:$D$4</c:f>
              <c:strCache>
                <c:ptCount val="1"/>
                <c:pt idx="0">
                  <c:v>January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dashboard'!$D$5:$D$12</c:f>
              <c:numCache>
                <c:formatCode>General</c:formatCode>
                <c:ptCount val="7"/>
                <c:pt idx="0">
                  <c:v>50</c:v>
                </c:pt>
                <c:pt idx="1">
                  <c:v>150</c:v>
                </c:pt>
                <c:pt idx="2">
                  <c:v>60</c:v>
                </c:pt>
                <c:pt idx="3">
                  <c:v>15</c:v>
                </c:pt>
                <c:pt idx="4">
                  <c:v>50</c:v>
                </c:pt>
                <c:pt idx="5">
                  <c:v>450</c:v>
                </c:pt>
              </c:numCache>
            </c:numRef>
          </c:val>
          <c:extLst>
            <c:ext xmlns:c16="http://schemas.microsoft.com/office/drawing/2014/chart" uri="{C3380CC4-5D6E-409C-BE32-E72D297353CC}">
              <c16:uniqueId val="{00000008-0C38-4181-967B-C07D420D8E50}"/>
            </c:ext>
          </c:extLst>
        </c:ser>
        <c:ser>
          <c:idx val="3"/>
          <c:order val="3"/>
          <c:tx>
            <c:strRef>
              <c:f>'UK housing and rent dashboard'!$E$3:$E$4</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dashboard'!$E$5:$E$12</c:f>
              <c:numCache>
                <c:formatCode>General</c:formatCode>
                <c:ptCount val="7"/>
              </c:numCache>
            </c:numRef>
          </c:val>
          <c:extLst>
            <c:ext xmlns:c16="http://schemas.microsoft.com/office/drawing/2014/chart" uri="{C3380CC4-5D6E-409C-BE32-E72D297353CC}">
              <c16:uniqueId val="{0000000A-0C38-4181-967B-C07D420D8E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Expense Variance%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'UK housing and rent dashboard'!$J$19</c:f>
              <c:numCache>
                <c:formatCode>General</c:formatCode>
                <c:ptCount val="1"/>
                <c:pt idx="0">
                  <c:v>0</c:v>
                </c:pt>
              </c:numCache>
            </c:numRef>
          </c:val>
          <c:extLst>
            <c:ext xmlns:c16="http://schemas.microsoft.com/office/drawing/2014/chart" uri="{C3380CC4-5D6E-409C-BE32-E72D297353CC}">
              <c16:uniqueId val="{00000000-FD6C-4AB7-A2BF-C6C0A422CB39}"/>
            </c:ext>
          </c:extLst>
        </c:ser>
        <c:dLbls>
          <c:showLegendKey val="0"/>
          <c:showVal val="0"/>
          <c:showCatName val="0"/>
          <c:showSerName val="0"/>
          <c:showPercent val="0"/>
          <c:showBubbleSize val="0"/>
        </c:dLbls>
        <c:gapWidth val="150"/>
        <c:shape val="box"/>
        <c:axId val="736684400"/>
        <c:axId val="736685232"/>
        <c:axId val="0"/>
      </c:bar3DChart>
      <c:catAx>
        <c:axId val="736684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685232"/>
        <c:crosses val="autoZero"/>
        <c:auto val="1"/>
        <c:lblAlgn val="ctr"/>
        <c:lblOffset val="100"/>
        <c:noMultiLvlLbl val="0"/>
      </c:catAx>
      <c:valAx>
        <c:axId val="7366852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68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476250</xdr:colOff>
      <xdr:row>4</xdr:row>
      <xdr:rowOff>133350</xdr:rowOff>
    </xdr:from>
    <xdr:to>
      <xdr:col>3</xdr:col>
      <xdr:colOff>400050</xdr:colOff>
      <xdr:row>8</xdr:row>
      <xdr:rowOff>123825</xdr:rowOff>
    </xdr:to>
    <xdr:sp macro="" textlink="">
      <xdr:nvSpPr>
        <xdr:cNvPr id="2" name="Rectangle: Rounded Corners 1">
          <a:extLst>
            <a:ext uri="{FF2B5EF4-FFF2-40B4-BE49-F238E27FC236}">
              <a16:creationId xmlns:a16="http://schemas.microsoft.com/office/drawing/2014/main" id="{9390BAC1-D69B-48DB-AD2B-AFF345EB8BC2}"/>
            </a:ext>
          </a:extLst>
        </xdr:cNvPr>
        <xdr:cNvSpPr/>
      </xdr:nvSpPr>
      <xdr:spPr>
        <a:xfrm>
          <a:off x="476250" y="895350"/>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Highest Paying ROLE</a:t>
          </a:r>
        </a:p>
      </xdr:txBody>
    </xdr:sp>
    <xdr:clientData/>
  </xdr:twoCellAnchor>
  <xdr:twoCellAnchor>
    <xdr:from>
      <xdr:col>9</xdr:col>
      <xdr:colOff>76200</xdr:colOff>
      <xdr:row>4</xdr:row>
      <xdr:rowOff>66675</xdr:rowOff>
    </xdr:from>
    <xdr:to>
      <xdr:col>12</xdr:col>
      <xdr:colOff>0</xdr:colOff>
      <xdr:row>8</xdr:row>
      <xdr:rowOff>57150</xdr:rowOff>
    </xdr:to>
    <xdr:sp macro="" textlink="">
      <xdr:nvSpPr>
        <xdr:cNvPr id="3" name="Rectangle: Rounded Corners 2">
          <a:extLst>
            <a:ext uri="{FF2B5EF4-FFF2-40B4-BE49-F238E27FC236}">
              <a16:creationId xmlns:a16="http://schemas.microsoft.com/office/drawing/2014/main" id="{8A500B94-44B6-406B-817F-DB826BC0B7FA}"/>
            </a:ext>
          </a:extLst>
        </xdr:cNvPr>
        <xdr:cNvSpPr/>
      </xdr:nvSpPr>
      <xdr:spPr>
        <a:xfrm>
          <a:off x="5562600" y="828675"/>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Total Jobs</a:t>
          </a:r>
        </a:p>
      </xdr:txBody>
    </xdr:sp>
    <xdr:clientData/>
  </xdr:twoCellAnchor>
  <xdr:twoCellAnchor>
    <xdr:from>
      <xdr:col>12</xdr:col>
      <xdr:colOff>590550</xdr:colOff>
      <xdr:row>4</xdr:row>
      <xdr:rowOff>85725</xdr:rowOff>
    </xdr:from>
    <xdr:to>
      <xdr:col>15</xdr:col>
      <xdr:colOff>514350</xdr:colOff>
      <xdr:row>8</xdr:row>
      <xdr:rowOff>76200</xdr:rowOff>
    </xdr:to>
    <xdr:sp macro="" textlink="">
      <xdr:nvSpPr>
        <xdr:cNvPr id="4" name="Rectangle: Rounded Corners 3">
          <a:extLst>
            <a:ext uri="{FF2B5EF4-FFF2-40B4-BE49-F238E27FC236}">
              <a16:creationId xmlns:a16="http://schemas.microsoft.com/office/drawing/2014/main" id="{0AEC92B0-B56F-4532-8B14-7BA420CDA24F}"/>
            </a:ext>
          </a:extLst>
        </xdr:cNvPr>
        <xdr:cNvSpPr/>
      </xdr:nvSpPr>
      <xdr:spPr>
        <a:xfrm>
          <a:off x="7905750" y="847725"/>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City with Highest</a:t>
          </a:r>
          <a:r>
            <a:rPr lang="en-US" sz="1200" b="1" baseline="0"/>
            <a:t> Pay</a:t>
          </a:r>
          <a:endParaRPr lang="en-US" sz="1200" b="1"/>
        </a:p>
      </xdr:txBody>
    </xdr:sp>
    <xdr:clientData/>
  </xdr:twoCellAnchor>
  <xdr:twoCellAnchor>
    <xdr:from>
      <xdr:col>4</xdr:col>
      <xdr:colOff>600075</xdr:colOff>
      <xdr:row>4</xdr:row>
      <xdr:rowOff>95250</xdr:rowOff>
    </xdr:from>
    <xdr:to>
      <xdr:col>7</xdr:col>
      <xdr:colOff>523875</xdr:colOff>
      <xdr:row>8</xdr:row>
      <xdr:rowOff>85725</xdr:rowOff>
    </xdr:to>
    <xdr:sp macro="" textlink="">
      <xdr:nvSpPr>
        <xdr:cNvPr id="5" name="Rectangle: Rounded Corners 4">
          <a:extLst>
            <a:ext uri="{FF2B5EF4-FFF2-40B4-BE49-F238E27FC236}">
              <a16:creationId xmlns:a16="http://schemas.microsoft.com/office/drawing/2014/main" id="{6D98A905-D6C9-4B78-A8C5-7C8ACF6B52E7}"/>
            </a:ext>
          </a:extLst>
        </xdr:cNvPr>
        <xdr:cNvSpPr/>
      </xdr:nvSpPr>
      <xdr:spPr>
        <a:xfrm>
          <a:off x="3038475" y="857250"/>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Average</a:t>
          </a:r>
          <a:r>
            <a:rPr lang="en-US" sz="1200" b="1" baseline="0"/>
            <a:t> Hourly Pay</a:t>
          </a:r>
          <a:endParaRPr lang="en-US" sz="1200" b="1"/>
        </a:p>
      </xdr:txBody>
    </xdr:sp>
    <xdr:clientData/>
  </xdr:twoCellAnchor>
  <xdr:twoCellAnchor>
    <xdr:from>
      <xdr:col>10</xdr:col>
      <xdr:colOff>219074</xdr:colOff>
      <xdr:row>6</xdr:row>
      <xdr:rowOff>180975</xdr:rowOff>
    </xdr:from>
    <xdr:to>
      <xdr:col>10</xdr:col>
      <xdr:colOff>581024</xdr:colOff>
      <xdr:row>8</xdr:row>
      <xdr:rowOff>0</xdr:rowOff>
    </xdr:to>
    <xdr:sp macro="" textlink="'Job Market Value'!M11">
      <xdr:nvSpPr>
        <xdr:cNvPr id="6" name="TextBox 5">
          <a:extLst>
            <a:ext uri="{FF2B5EF4-FFF2-40B4-BE49-F238E27FC236}">
              <a16:creationId xmlns:a16="http://schemas.microsoft.com/office/drawing/2014/main" id="{A0DD265E-751D-44F1-A0F2-1C1DDFEF59C3}"/>
            </a:ext>
          </a:extLst>
        </xdr:cNvPr>
        <xdr:cNvSpPr txBox="1"/>
      </xdr:nvSpPr>
      <xdr:spPr>
        <a:xfrm flipH="1">
          <a:off x="6315074" y="1323975"/>
          <a:ext cx="36195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6C9352-21F3-4ABF-91A5-A07C1DA8B001}" type="TxLink">
            <a:rPr lang="en-US" sz="1200" b="1" i="0" u="none" strike="noStrike">
              <a:solidFill>
                <a:schemeClr val="tx1"/>
              </a:solidFill>
              <a:latin typeface="Calibri"/>
              <a:cs typeface="Calibri"/>
            </a:rPr>
            <a:pPr/>
            <a:t>50</a:t>
          </a:fld>
          <a:endParaRPr lang="en-US" sz="1200" b="1">
            <a:solidFill>
              <a:schemeClr val="tx1"/>
            </a:solidFill>
          </a:endParaRPr>
        </a:p>
      </xdr:txBody>
    </xdr:sp>
    <xdr:clientData/>
  </xdr:twoCellAnchor>
  <xdr:oneCellAnchor>
    <xdr:from>
      <xdr:col>1</xdr:col>
      <xdr:colOff>238125</xdr:colOff>
      <xdr:row>7</xdr:row>
      <xdr:rowOff>19050</xdr:rowOff>
    </xdr:from>
    <xdr:ext cx="1190625" cy="264560"/>
    <xdr:sp macro="" textlink="'Job Market Value'!M13">
      <xdr:nvSpPr>
        <xdr:cNvPr id="9" name="TextBox 8">
          <a:extLst>
            <a:ext uri="{FF2B5EF4-FFF2-40B4-BE49-F238E27FC236}">
              <a16:creationId xmlns:a16="http://schemas.microsoft.com/office/drawing/2014/main" id="{48889E3C-3EFF-4226-9F6C-2C60307C9B3E}"/>
            </a:ext>
          </a:extLst>
        </xdr:cNvPr>
        <xdr:cNvSpPr txBox="1"/>
      </xdr:nvSpPr>
      <xdr:spPr>
        <a:xfrm>
          <a:off x="847725" y="1352550"/>
          <a:ext cx="1190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E3FB48-A551-4074-A4E1-D7098C72C362}" type="TxLink">
            <a:rPr lang="en-US" sz="1100" b="1" i="0" u="none" strike="noStrike">
              <a:solidFill>
                <a:schemeClr val="bg1"/>
              </a:solidFill>
              <a:latin typeface="Calibri"/>
              <a:cs typeface="Calibri"/>
            </a:rPr>
            <a:pPr/>
            <a:t>Receptionist</a:t>
          </a:fld>
          <a:endParaRPr lang="en-US" sz="1100" b="1">
            <a:solidFill>
              <a:schemeClr val="bg1"/>
            </a:solidFill>
          </a:endParaRPr>
        </a:p>
      </xdr:txBody>
    </xdr:sp>
    <xdr:clientData/>
  </xdr:oneCellAnchor>
  <xdr:oneCellAnchor>
    <xdr:from>
      <xdr:col>14</xdr:col>
      <xdr:colOff>85725</xdr:colOff>
      <xdr:row>7</xdr:row>
      <xdr:rowOff>66675</xdr:rowOff>
    </xdr:from>
    <xdr:ext cx="581025" cy="219075"/>
    <xdr:sp macro="" textlink="'Job Market Value'!M14">
      <xdr:nvSpPr>
        <xdr:cNvPr id="11" name="TextBox 10">
          <a:extLst>
            <a:ext uri="{FF2B5EF4-FFF2-40B4-BE49-F238E27FC236}">
              <a16:creationId xmlns:a16="http://schemas.microsoft.com/office/drawing/2014/main" id="{C7158D93-EF0B-45F2-BD7B-BDE19DC4BD75}"/>
            </a:ext>
          </a:extLst>
        </xdr:cNvPr>
        <xdr:cNvSpPr txBox="1"/>
      </xdr:nvSpPr>
      <xdr:spPr>
        <a:xfrm>
          <a:off x="8620125" y="1400175"/>
          <a:ext cx="581025"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17D155C-F5BB-4DA6-88BE-7B5E354F57FC}" type="TxLink">
            <a:rPr lang="en-US" sz="1000" b="1" i="0" u="none" strike="noStrike">
              <a:solidFill>
                <a:schemeClr val="bg1"/>
              </a:solidFill>
              <a:latin typeface="Calibri"/>
              <a:cs typeface="Calibri"/>
            </a:rPr>
            <a:pPr/>
            <a:t>London</a:t>
          </a:fld>
          <a:endParaRPr lang="en-US" sz="1000" b="1">
            <a:solidFill>
              <a:schemeClr val="bg1"/>
            </a:solidFill>
          </a:endParaRPr>
        </a:p>
      </xdr:txBody>
    </xdr:sp>
    <xdr:clientData/>
  </xdr:oneCellAnchor>
  <xdr:oneCellAnchor>
    <xdr:from>
      <xdr:col>5</xdr:col>
      <xdr:colOff>523874</xdr:colOff>
      <xdr:row>6</xdr:row>
      <xdr:rowOff>152400</xdr:rowOff>
    </xdr:from>
    <xdr:ext cx="657225" cy="280205"/>
    <xdr:sp macro="" textlink="'Job Market Value'!M12">
      <xdr:nvSpPr>
        <xdr:cNvPr id="12" name="TextBox 11">
          <a:extLst>
            <a:ext uri="{FF2B5EF4-FFF2-40B4-BE49-F238E27FC236}">
              <a16:creationId xmlns:a16="http://schemas.microsoft.com/office/drawing/2014/main" id="{A986E822-016D-4EAA-AE44-C6EE94DF2F11}"/>
            </a:ext>
          </a:extLst>
        </xdr:cNvPr>
        <xdr:cNvSpPr txBox="1"/>
      </xdr:nvSpPr>
      <xdr:spPr>
        <a:xfrm>
          <a:off x="3571874" y="1295400"/>
          <a:ext cx="6572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4E3BEEC-8D9A-462E-901A-9D8C18A16F42}" type="TxLink">
            <a:rPr lang="en-US" sz="1200" b="1" i="0" u="none" strike="noStrike">
              <a:solidFill>
                <a:schemeClr val="bg1"/>
              </a:solidFill>
              <a:latin typeface="Calibri"/>
              <a:cs typeface="Calibri"/>
            </a:rPr>
            <a:pPr/>
            <a:t> £13.40 </a:t>
          </a:fld>
          <a:endParaRPr lang="en-US" sz="1200" b="1">
            <a:solidFill>
              <a:schemeClr val="bg1"/>
            </a:solidFill>
          </a:endParaRPr>
        </a:p>
      </xdr:txBody>
    </xdr:sp>
    <xdr:clientData/>
  </xdr:oneCellAnchor>
  <xdr:twoCellAnchor>
    <xdr:from>
      <xdr:col>0</xdr:col>
      <xdr:colOff>0</xdr:colOff>
      <xdr:row>9</xdr:row>
      <xdr:rowOff>0</xdr:rowOff>
    </xdr:from>
    <xdr:to>
      <xdr:col>4</xdr:col>
      <xdr:colOff>569026</xdr:colOff>
      <xdr:row>23</xdr:row>
      <xdr:rowOff>145473</xdr:rowOff>
    </xdr:to>
    <xdr:graphicFrame macro="">
      <xdr:nvGraphicFramePr>
        <xdr:cNvPr id="13" name="Chart 12">
          <a:extLst>
            <a:ext uri="{FF2B5EF4-FFF2-40B4-BE49-F238E27FC236}">
              <a16:creationId xmlns:a16="http://schemas.microsoft.com/office/drawing/2014/main" id="{BD615F1B-356C-482C-9454-39B94B13A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603249</xdr:colOff>
      <xdr:row>9</xdr:row>
      <xdr:rowOff>0</xdr:rowOff>
    </xdr:from>
    <xdr:to>
      <xdr:col>9</xdr:col>
      <xdr:colOff>428624</xdr:colOff>
      <xdr:row>23</xdr:row>
      <xdr:rowOff>145473</xdr:rowOff>
    </xdr:to>
    <xdr:graphicFrame macro="">
      <xdr:nvGraphicFramePr>
        <xdr:cNvPr id="14" name="Chart 13">
          <a:extLst>
            <a:ext uri="{FF2B5EF4-FFF2-40B4-BE49-F238E27FC236}">
              <a16:creationId xmlns:a16="http://schemas.microsoft.com/office/drawing/2014/main" id="{87B7D27B-0AFF-41CF-9C06-95E003279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601189</xdr:colOff>
      <xdr:row>9</xdr:row>
      <xdr:rowOff>26596</xdr:rowOff>
    </xdr:from>
    <xdr:to>
      <xdr:col>21</xdr:col>
      <xdr:colOff>8330</xdr:colOff>
      <xdr:row>22</xdr:row>
      <xdr:rowOff>143494</xdr:rowOff>
    </xdr:to>
    <mc:AlternateContent xmlns:mc="http://schemas.openxmlformats.org/markup-compatibility/2006" xmlns:a14="http://schemas.microsoft.com/office/drawing/2010/main">
      <mc:Choice Requires="a14">
        <xdr:graphicFrame macro="">
          <xdr:nvGraphicFramePr>
            <xdr:cNvPr id="17" name="Job Role">
              <a:extLst>
                <a:ext uri="{FF2B5EF4-FFF2-40B4-BE49-F238E27FC236}">
                  <a16:creationId xmlns:a16="http://schemas.microsoft.com/office/drawing/2014/main" id="{38B4F692-EE61-4D89-A739-99C57C3BC52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0856439" y="1772846"/>
              <a:ext cx="1820141" cy="259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151533</xdr:colOff>
      <xdr:row>23</xdr:row>
      <xdr:rowOff>152770</xdr:rowOff>
    </xdr:from>
    <xdr:to>
      <xdr:col>3</xdr:col>
      <xdr:colOff>161924</xdr:colOff>
      <xdr:row>37</xdr:row>
      <xdr:rowOff>79168</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064CC849-66D4-4963-BE9E-B460527745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1533" y="4566020"/>
              <a:ext cx="1820141" cy="259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9</xdr:row>
      <xdr:rowOff>0</xdr:rowOff>
    </xdr:from>
    <xdr:to>
      <xdr:col>17</xdr:col>
      <xdr:colOff>329046</xdr:colOff>
      <xdr:row>23</xdr:row>
      <xdr:rowOff>145473</xdr:rowOff>
    </xdr:to>
    <xdr:graphicFrame macro="">
      <xdr:nvGraphicFramePr>
        <xdr:cNvPr id="19" name="Chart 18">
          <a:extLst>
            <a:ext uri="{FF2B5EF4-FFF2-40B4-BE49-F238E27FC236}">
              <a16:creationId xmlns:a16="http://schemas.microsoft.com/office/drawing/2014/main" id="{67BB77FE-AE08-4626-9929-7249BFF7C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581025</xdr:colOff>
      <xdr:row>0</xdr:row>
      <xdr:rowOff>61912</xdr:rowOff>
    </xdr:from>
    <xdr:to>
      <xdr:col>13</xdr:col>
      <xdr:colOff>276225</xdr:colOff>
      <xdr:row>14</xdr:row>
      <xdr:rowOff>138112</xdr:rowOff>
    </xdr:to>
    <xdr:graphicFrame macro="">
      <xdr:nvGraphicFramePr>
        <xdr:cNvPr id="2" name="Chart 1">
          <a:extLst>
            <a:ext uri="{FF2B5EF4-FFF2-40B4-BE49-F238E27FC236}">
              <a16:creationId xmlns:a16="http://schemas.microsoft.com/office/drawing/2014/main" id="{626A5B7D-FF7B-476D-8103-D7A82757F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4762</xdr:rowOff>
    </xdr:from>
    <xdr:to>
      <xdr:col>5</xdr:col>
      <xdr:colOff>504825</xdr:colOff>
      <xdr:row>25</xdr:row>
      <xdr:rowOff>80962</xdr:rowOff>
    </xdr:to>
    <xdr:graphicFrame macro="">
      <xdr:nvGraphicFramePr>
        <xdr:cNvPr id="3" name="Chart 2">
          <a:extLst>
            <a:ext uri="{FF2B5EF4-FFF2-40B4-BE49-F238E27FC236}">
              <a16:creationId xmlns:a16="http://schemas.microsoft.com/office/drawing/2014/main" id="{42D5ED6F-D1EB-4D0D-8EBD-93B515645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10214</xdr:colOff>
      <xdr:row>1</xdr:row>
      <xdr:rowOff>110435</xdr:rowOff>
    </xdr:from>
    <xdr:to>
      <xdr:col>6</xdr:col>
      <xdr:colOff>19739</xdr:colOff>
      <xdr:row>11</xdr:row>
      <xdr:rowOff>88624</xdr:rowOff>
    </xdr:to>
    <mc:AlternateContent xmlns:mc="http://schemas.openxmlformats.org/markup-compatibility/2006" xmlns:a14="http://schemas.microsoft.com/office/drawing/2010/main">
      <mc:Choice Requires="a14">
        <xdr:graphicFrame macro="">
          <xdr:nvGraphicFramePr>
            <xdr:cNvPr id="4" name="Market Vibe">
              <a:extLst>
                <a:ext uri="{FF2B5EF4-FFF2-40B4-BE49-F238E27FC236}">
                  <a16:creationId xmlns:a16="http://schemas.microsoft.com/office/drawing/2014/main" id="{22D3CBE3-75E1-490A-A5E7-63A2776D6915}"/>
                </a:ext>
              </a:extLst>
            </xdr:cNvPr>
            <xdr:cNvGraphicFramePr/>
          </xdr:nvGraphicFramePr>
          <xdr:xfrm>
            <a:off x="0" y="0"/>
            <a:ext cx="0" cy="0"/>
          </xdr:xfrm>
          <a:graphic>
            <a:graphicData uri="http://schemas.microsoft.com/office/drawing/2010/slicer">
              <sle:slicer xmlns:sle="http://schemas.microsoft.com/office/drawing/2010/slicer" name="Market Vibe"/>
            </a:graphicData>
          </a:graphic>
        </xdr:graphicFrame>
      </mc:Choice>
      <mc:Fallback xmlns="">
        <xdr:sp macro="" textlink="">
          <xdr:nvSpPr>
            <xdr:cNvPr id="0" name=""/>
            <xdr:cNvSpPr>
              <a:spLocks noTextEdit="1"/>
            </xdr:cNvSpPr>
          </xdr:nvSpPr>
          <xdr:spPr>
            <a:xfrm>
              <a:off x="2857012" y="303075"/>
              <a:ext cx="1839609" cy="1904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14</xdr:row>
      <xdr:rowOff>109537</xdr:rowOff>
    </xdr:from>
    <xdr:to>
      <xdr:col>13</xdr:col>
      <xdr:colOff>266700</xdr:colOff>
      <xdr:row>28</xdr:row>
      <xdr:rowOff>185737</xdr:rowOff>
    </xdr:to>
    <xdr:graphicFrame macro="">
      <xdr:nvGraphicFramePr>
        <xdr:cNvPr id="5" name="Chart 1">
          <a:extLst>
            <a:ext uri="{FF2B5EF4-FFF2-40B4-BE49-F238E27FC236}">
              <a16:creationId xmlns:a16="http://schemas.microsoft.com/office/drawing/2014/main" id="{3FCF2BBC-F5BA-4AFC-889F-8754C4521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342899</xdr:colOff>
      <xdr:row>0</xdr:row>
      <xdr:rowOff>33337</xdr:rowOff>
    </xdr:from>
    <xdr:to>
      <xdr:col>20</xdr:col>
      <xdr:colOff>561974</xdr:colOff>
      <xdr:row>14</xdr:row>
      <xdr:rowOff>161925</xdr:rowOff>
    </xdr:to>
    <xdr:graphicFrame macro="">
      <xdr:nvGraphicFramePr>
        <xdr:cNvPr id="6" name="Chart 2">
          <a:extLst>
            <a:ext uri="{FF2B5EF4-FFF2-40B4-BE49-F238E27FC236}">
              <a16:creationId xmlns:a16="http://schemas.microsoft.com/office/drawing/2014/main" id="{DF50E730-BE8B-4CF7-BF90-2F552981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498297</xdr:colOff>
      <xdr:row>0</xdr:row>
      <xdr:rowOff>0</xdr:rowOff>
    </xdr:from>
    <xdr:to>
      <xdr:col>14</xdr:col>
      <xdr:colOff>235878</xdr:colOff>
      <xdr:row>14</xdr:row>
      <xdr:rowOff>76200</xdr:rowOff>
    </xdr:to>
    <xdr:graphicFrame macro="">
      <xdr:nvGraphicFramePr>
        <xdr:cNvPr id="2" name="Chart 1">
          <a:extLst>
            <a:ext uri="{FF2B5EF4-FFF2-40B4-BE49-F238E27FC236}">
              <a16:creationId xmlns:a16="http://schemas.microsoft.com/office/drawing/2014/main" id="{F1042439-0488-4692-9EAE-814B33A9F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12</xdr:row>
      <xdr:rowOff>9525</xdr:rowOff>
    </xdr:from>
    <xdr:to>
      <xdr:col>1</xdr:col>
      <xdr:colOff>145257</xdr:colOff>
      <xdr:row>25</xdr:row>
      <xdr:rowOff>57150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EA350783-182A-4EF1-9055-DC59EFC48B1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625" y="2368096"/>
              <a:ext cx="1821203" cy="2553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352425</xdr:colOff>
      <xdr:row>12</xdr:row>
      <xdr:rowOff>47625</xdr:rowOff>
    </xdr:from>
    <xdr:to>
      <xdr:col>3</xdr:col>
      <xdr:colOff>207194</xdr:colOff>
      <xdr:row>25</xdr:row>
      <xdr:rowOff>95250</xdr:rowOff>
    </xdr:to>
    <mc:AlternateContent xmlns:mc="http://schemas.openxmlformats.org/markup-compatibility/2006" xmlns:a14="http://schemas.microsoft.com/office/drawing/2010/main">
      <mc:Choice Requires="a14">
        <xdr:graphicFrame macro="">
          <xdr:nvGraphicFramePr>
            <xdr:cNvPr id="4" name=" Budget Category">
              <a:extLst>
                <a:ext uri="{FF2B5EF4-FFF2-40B4-BE49-F238E27FC236}">
                  <a16:creationId xmlns:a16="http://schemas.microsoft.com/office/drawing/2014/main" id="{E0E42207-8F0D-427E-A101-42E7492F71CE}"/>
                </a:ext>
              </a:extLst>
            </xdr:cNvPr>
            <xdr:cNvGraphicFramePr/>
          </xdr:nvGraphicFramePr>
          <xdr:xfrm>
            <a:off x="0" y="0"/>
            <a:ext cx="0" cy="0"/>
          </xdr:xfrm>
          <a:graphic>
            <a:graphicData uri="http://schemas.microsoft.com/office/drawing/2010/slicer">
              <sle:slicer xmlns:sle="http://schemas.microsoft.com/office/drawing/2010/slicer" name=" Budget Category"/>
            </a:graphicData>
          </a:graphic>
        </xdr:graphicFrame>
      </mc:Choice>
      <mc:Fallback xmlns="">
        <xdr:sp macro="" textlink="">
          <xdr:nvSpPr>
            <xdr:cNvPr id="0" name=""/>
            <xdr:cNvSpPr>
              <a:spLocks noTextEdit="1"/>
            </xdr:cNvSpPr>
          </xdr:nvSpPr>
          <xdr:spPr>
            <a:xfrm>
              <a:off x="2075996" y="2406196"/>
              <a:ext cx="1827805" cy="2553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14</xdr:row>
      <xdr:rowOff>95250</xdr:rowOff>
    </xdr:from>
    <xdr:to>
      <xdr:col>6</xdr:col>
      <xdr:colOff>342981</xdr:colOff>
      <xdr:row>27</xdr:row>
      <xdr:rowOff>142875</xdr:rowOff>
    </xdr:to>
    <mc:AlternateContent xmlns:mc="http://schemas.openxmlformats.org/markup-compatibility/2006" xmlns:a14="http://schemas.microsoft.com/office/drawing/2010/main">
      <mc:Choice Requires="a14">
        <xdr:graphicFrame macro="">
          <xdr:nvGraphicFramePr>
            <xdr:cNvPr id="5" name="Amount Type">
              <a:extLst>
                <a:ext uri="{FF2B5EF4-FFF2-40B4-BE49-F238E27FC236}">
                  <a16:creationId xmlns:a16="http://schemas.microsoft.com/office/drawing/2014/main" id="{70240338-C4DC-4B91-AB83-7DFB93FC0560}"/>
                </a:ext>
              </a:extLst>
            </xdr:cNvPr>
            <xdr:cNvGraphicFramePr/>
          </xdr:nvGraphicFramePr>
          <xdr:xfrm>
            <a:off x="0" y="0"/>
            <a:ext cx="0" cy="0"/>
          </xdr:xfrm>
          <a:graphic>
            <a:graphicData uri="http://schemas.microsoft.com/office/drawing/2010/slicer">
              <sle:slicer xmlns:sle="http://schemas.microsoft.com/office/drawing/2010/slicer" name="Amount Type"/>
            </a:graphicData>
          </a:graphic>
        </xdr:graphicFrame>
      </mc:Choice>
      <mc:Fallback xmlns="">
        <xdr:sp macro="" textlink="">
          <xdr:nvSpPr>
            <xdr:cNvPr id="0" name=""/>
            <xdr:cNvSpPr>
              <a:spLocks noTextEdit="1"/>
            </xdr:cNvSpPr>
          </xdr:nvSpPr>
          <xdr:spPr>
            <a:xfrm>
              <a:off x="4172857" y="2839357"/>
              <a:ext cx="1828428" cy="2553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527647</xdr:colOff>
      <xdr:row>14</xdr:row>
      <xdr:rowOff>90425</xdr:rowOff>
    </xdr:from>
    <xdr:to>
      <xdr:col>14</xdr:col>
      <xdr:colOff>222847</xdr:colOff>
      <xdr:row>28</xdr:row>
      <xdr:rowOff>166624</xdr:rowOff>
    </xdr:to>
    <xdr:graphicFrame macro="">
      <xdr:nvGraphicFramePr>
        <xdr:cNvPr id="6" name="Chart 5">
          <a:extLst>
            <a:ext uri="{FF2B5EF4-FFF2-40B4-BE49-F238E27FC236}">
              <a16:creationId xmlns:a16="http://schemas.microsoft.com/office/drawing/2014/main" id="{AE25454A-95F1-4627-8F17-9B2E37190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5.658808564818" createdVersion="7" refreshedVersion="7" minRefreshableVersion="3" recordCount="30" xr:uid="{8D87D6FD-0D42-4C2A-AC3C-383BDAAA37BA}">
  <cacheSource type="worksheet">
    <worksheetSource ref="A1:D1048576" sheet="Sheet1"/>
  </cacheSource>
  <cacheFields count="4">
    <cacheField name="Date" numFmtId="0">
      <sharedItems containsNonDate="0" containsDate="1" containsString="0" containsBlank="1" minDate="2026-04-19T00:00:00" maxDate="2026-05-18T00:00:00"/>
    </cacheField>
    <cacheField name="scenario" numFmtId="0">
      <sharedItems containsBlank="1"/>
    </cacheField>
    <cacheField name="Gold price" numFmtId="44">
      <sharedItems containsString="0" containsBlank="1" containsNumber="1" containsInteger="1" minValue="4350" maxValue="5600"/>
    </cacheField>
    <cacheField name="Market Vibe" numFmtId="0">
      <sharedItems containsBlank="1" count="6">
        <s v="High Tension"/>
        <s v="Cooling"/>
        <s v="Profit Taking"/>
        <s v="Deep Dip"/>
        <s v="Recovery"/>
        <m/>
      </sharedItems>
    </cacheField>
  </cacheFields>
  <extLst>
    <ext xmlns:x14="http://schemas.microsoft.com/office/spreadsheetml/2009/9/main" uri="{725AE2AE-9491-48be-B2B4-4EB974FC3084}">
      <x14:pivotCacheDefinition pivotCacheId="15147724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44371122685" createdVersion="7" refreshedVersion="7" minRefreshableVersion="3" recordCount="39" xr:uid="{10440BE2-1E25-4B44-9846-81FA171157F8}">
  <cacheSource type="worksheet">
    <worksheetSource ref="A1:E40" sheet="Sheet3"/>
  </cacheSource>
  <cacheFields count="5">
    <cacheField name="Month" numFmtId="0">
      <sharedItems containsBlank="1" count="4">
        <s v="September"/>
        <s v="December"/>
        <s v="January"/>
        <m/>
      </sharedItems>
    </cacheField>
    <cacheField name=" Budget Category" numFmtId="0">
      <sharedItems containsBlank="1" count="7">
        <s v="Rent&amp;Bills (Shared Hmo)"/>
        <s v="food&amp; groceries"/>
        <s v="Local Transport "/>
        <s v="Mobile Data&amp;SIM"/>
        <s v="Personal Care &amp; Misc"/>
        <s v="Emergency Buffer"/>
        <m/>
      </sharedItems>
    </cacheField>
    <cacheField name="Monthly Amount" numFmtId="0">
      <sharedItems containsString="0" containsBlank="1" containsNumber="1" containsInteger="1" minValue="15" maxValue="450"/>
    </cacheField>
    <cacheField name="Street Reality &amp; Strategy" numFmtId="0">
      <sharedItems containsBlank="1"/>
    </cacheField>
    <cacheField name="Amount Type" numFmtId="0">
      <sharedItems containsBlank="1" count="3">
        <s v="Budget"/>
        <m/>
        <s v="Actual"/>
      </sharedItems>
    </cacheField>
  </cacheFields>
  <extLst>
    <ext xmlns:x14="http://schemas.microsoft.com/office/spreadsheetml/2009/9/main" uri="{725AE2AE-9491-48be-B2B4-4EB974FC3084}">
      <x14:pivotCacheDefinition pivotCacheId="3018657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738286458334" createdVersion="7" refreshedVersion="7" minRefreshableVersion="3" recordCount="50" xr:uid="{62E5D227-E095-42C2-A2B6-E75E595A9914}">
  <cacheSource type="worksheet">
    <worksheetSource name="Table1"/>
  </cacheSource>
  <cacheFields count="6">
    <cacheField name="Date" numFmtId="0">
      <sharedItems containsDate="1" containsMixedTypes="1" minDate="2026-01-09T00:00:00" maxDate="2026-12-11T00:00:00"/>
    </cacheField>
    <cacheField name="Job Role" numFmtId="0">
      <sharedItems count="10">
        <s v="Admin Assistanct"/>
        <s v="IT Support Assistant"/>
        <s v="Data Entry Clerk"/>
        <s v="Library Assistant"/>
        <s v="Student Ambassador"/>
        <s v="Retail Assistant"/>
        <s v="Warehouse Operative"/>
        <s v="Customer Service Assistant"/>
        <s v="Receptionist"/>
        <s v="Care Assistant"/>
      </sharedItems>
    </cacheField>
    <cacheField name="City" numFmtId="0">
      <sharedItems count="8">
        <s v="Leeds"/>
        <s v="Bradford"/>
        <s v="Manchester"/>
        <s v="Sheffield"/>
        <s v="York"/>
        <s v="London"/>
        <s v="Scotland"/>
        <s v="Liverpool"/>
      </sharedItems>
    </cacheField>
    <cacheField name="Industry" numFmtId="0">
      <sharedItems count="6">
        <s v="Administration"/>
        <s v="Technology"/>
        <s v="Education"/>
        <s v="Retail"/>
        <s v="Logistics"/>
        <s v="Healthcare"/>
      </sharedItems>
    </cacheField>
    <cacheField name="Hour Pay" numFmtId="164">
      <sharedItems containsSemiMixedTypes="0" containsString="0" containsNumber="1" containsInteger="1" minValue="12" maxValue="15"/>
    </cacheField>
    <cacheField name="Hour Per Week" numFmtId="0">
      <sharedItems containsSemiMixedTypes="0" containsString="0" containsNumber="1" containsInteger="1" minValue="15" maxValue="20"/>
    </cacheField>
  </cacheFields>
  <extLst>
    <ext xmlns:x14="http://schemas.microsoft.com/office/spreadsheetml/2009/9/main" uri="{725AE2AE-9491-48be-B2B4-4EB974FC3084}">
      <x14:pivotCacheDefinition pivotCacheId="1651162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4-19T00:00:00"/>
    <s v="Market peak"/>
    <n v="5100"/>
    <x v="0"/>
  </r>
  <r>
    <d v="2026-04-20T00:00:00"/>
    <s v="Peace talk"/>
    <n v="4950"/>
    <x v="1"/>
  </r>
  <r>
    <d v="2026-04-21T00:00:00"/>
    <s v="Correction"/>
    <n v="4800"/>
    <x v="2"/>
  </r>
  <r>
    <d v="2026-04-22T00:00:00"/>
    <s v="ceasefire fail"/>
    <n v="5250"/>
    <x v="0"/>
  </r>
  <r>
    <d v="2026-04-23T00:00:00"/>
    <s v="sanction imposed"/>
    <n v="5300"/>
    <x v="0"/>
  </r>
  <r>
    <d v="2026-04-24T00:00:00"/>
    <s v="UN security briefing"/>
    <n v="5150"/>
    <x v="1"/>
  </r>
  <r>
    <d v="2026-04-25T00:00:00"/>
    <s v="Currency volatillity"/>
    <n v="5000"/>
    <x v="2"/>
  </r>
  <r>
    <d v="2026-04-26T00:00:00"/>
    <s v="Boarder esclation"/>
    <n v="5400"/>
    <x v="0"/>
  </r>
  <r>
    <d v="2026-04-27T00:00:00"/>
    <s v="oil supply freeze"/>
    <n v="5500"/>
    <x v="1"/>
  </r>
  <r>
    <d v="2026-04-28T00:00:00"/>
    <s v="global market panic"/>
    <n v="5350"/>
    <x v="0"/>
  </r>
  <r>
    <d v="2026-04-29T00:00:00"/>
    <s v="ceasefire fail signed"/>
    <n v="5420"/>
    <x v="0"/>
  </r>
  <r>
    <d v="2026-04-30T00:00:00"/>
    <s v="Troops Withdraw"/>
    <n v="5600"/>
    <x v="0"/>
  </r>
  <r>
    <d v="2026-05-01T00:00:00"/>
    <s v="Market rebound"/>
    <n v="4400"/>
    <x v="3"/>
  </r>
  <r>
    <d v="2026-05-02T00:00:00"/>
    <s v="Assets unfrozen"/>
    <n v="4350"/>
    <x v="3"/>
  </r>
  <r>
    <d v="2026-05-03T00:00:00"/>
    <s v="Technical correction"/>
    <n v="4500"/>
    <x v="4"/>
  </r>
  <r>
    <d v="2026-05-04T00:00:00"/>
    <s v="Infrastructure pact"/>
    <n v="4650"/>
    <x v="4"/>
  </r>
  <r>
    <d v="2026-05-05T00:00:00"/>
    <s v="Central bank intervention"/>
    <n v="4700"/>
    <x v="2"/>
  </r>
  <r>
    <d v="2026-05-06T00:00:00"/>
    <s v="Economic stimulus"/>
    <n v="4800"/>
    <x v="1"/>
  </r>
  <r>
    <d v="2026-05-07T00:00:00"/>
    <s v="Commodity stabilization"/>
    <n v="4620"/>
    <x v="3"/>
  </r>
  <r>
    <d v="2026-05-08T00:00:00"/>
    <s v="Treaty Ratification"/>
    <n v="4780"/>
    <x v="3"/>
  </r>
  <r>
    <d v="2026-05-09T00:00:00"/>
    <s v="logistics corridirs open"/>
    <n v="4850"/>
    <x v="4"/>
  </r>
  <r>
    <d v="2026-05-10T00:00:00"/>
    <s v="Trade tariff reduction"/>
    <n v="5200"/>
    <x v="4"/>
  </r>
  <r>
    <d v="2026-05-11T00:00:00"/>
    <s v="Tech Sector surge"/>
    <n v="5350"/>
    <x v="0"/>
  </r>
  <r>
    <d v="2026-05-12T00:00:00"/>
    <s v="inflation fears strike"/>
    <n v="5450"/>
    <x v="0"/>
  </r>
  <r>
    <d v="2026-05-13T00:00:00"/>
    <s v="Bull run resumes"/>
    <n v="5380"/>
    <x v="0"/>
  </r>
  <r>
    <d v="2026-05-14T00:00:00"/>
    <s v="safe haven demand "/>
    <n v="5210"/>
    <x v="1"/>
  </r>
  <r>
    <d v="2026-05-15T00:00:00"/>
    <s v="Cyber attack rumors"/>
    <n v="5180"/>
    <x v="2"/>
  </r>
  <r>
    <d v="2026-05-16T00:00:00"/>
    <s v="Supply chain bottleneck"/>
    <n v="5290"/>
    <x v="4"/>
  </r>
  <r>
    <d v="2026-05-17T00:00:00"/>
    <s v="Peace envoy dispacthed"/>
    <n v="4980"/>
    <x v="3"/>
  </r>
  <r>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n v="450"/>
    <s v="A clean room in a shared student house around Headingley or Hyde park with gas, water, and electricoty included"/>
    <x v="0"/>
  </r>
  <r>
    <x v="0"/>
    <x v="1"/>
    <n v="150"/>
    <s v="Shopping majorly at Aldi and Lidl for cheap poultry/eggs,plus local african stores for your direct nigerian food stuffs"/>
    <x v="1"/>
  </r>
  <r>
    <x v="0"/>
    <x v="2"/>
    <n v="60"/>
    <s v="A fully monthly unlimited student bus pass to glide you from your house straight to the leeds trinity campus"/>
    <x v="1"/>
  </r>
  <r>
    <x v="0"/>
    <x v="3"/>
    <n v="15"/>
    <s v="A Flexible monthly rolling plan (like VOXI or giffgaff) giving you heavy data to track my GitHub and stay on video calls with home"/>
    <x v="1"/>
  </r>
  <r>
    <x v="0"/>
    <x v="4"/>
    <n v="50"/>
    <s v="Haircuts,toiletries, laundry tokens, and random small personal items "/>
    <x v="1"/>
  </r>
  <r>
    <x v="0"/>
    <x v="5"/>
    <n v="50"/>
    <s v="Cold cash left untoched inside your bank app for unexpected expenses"/>
    <x v="1"/>
  </r>
  <r>
    <x v="0"/>
    <x v="6"/>
    <m/>
    <s v="This is the raw monthly survival target"/>
    <x v="1"/>
  </r>
  <r>
    <x v="1"/>
    <x v="0"/>
    <n v="450"/>
    <s v="A clean room in a shared student house around Headingley or Hyde park with gas, water, and electricoty included"/>
    <x v="1"/>
  </r>
  <r>
    <x v="1"/>
    <x v="1"/>
    <n v="150"/>
    <s v="Shopping majorly at Aldi and Lidl for cheap poultry/eggs,plus local african stores for your direct nigerian food stuffs"/>
    <x v="1"/>
  </r>
  <r>
    <x v="1"/>
    <x v="2"/>
    <m/>
    <s v="A fully monthly unlimited student bus pass to glide you from your house straight to the leeds trinity campus"/>
    <x v="1"/>
  </r>
  <r>
    <x v="1"/>
    <x v="3"/>
    <n v="15"/>
    <s v="A Flexible monthly rolling plan (like VOXI or giffgaff) giving you heavy data to track my GitHub and stay on video calls with home"/>
    <x v="1"/>
  </r>
  <r>
    <x v="1"/>
    <x v="4"/>
    <n v="50"/>
    <s v="Haircuts,toiletries, laundry tokens, and random small personal items "/>
    <x v="1"/>
  </r>
  <r>
    <x v="1"/>
    <x v="5"/>
    <n v="50"/>
    <s v="Cold cash left untoched inside your bank app for unexpected expenses"/>
    <x v="1"/>
  </r>
  <r>
    <x v="2"/>
    <x v="0"/>
    <n v="450"/>
    <s v="A clean room in a shared student house around Headingley or Hyde park with gas, water, and electricoty included"/>
    <x v="1"/>
  </r>
  <r>
    <x v="2"/>
    <x v="1"/>
    <n v="150"/>
    <s v="Shopping majorly at Aldi and Lidl for cheap poultry/eggs,plus local african stores for your direct nigerian food stuffs"/>
    <x v="1"/>
  </r>
  <r>
    <x v="2"/>
    <x v="2"/>
    <n v="60"/>
    <s v="A fully monthly unlimited student bus pass to glide you from your house straight to the leeds trinity campus"/>
    <x v="1"/>
  </r>
  <r>
    <x v="2"/>
    <x v="3"/>
    <n v="15"/>
    <s v="A Flexible monthly rolling plan (like VOXI or giffgaff) giving you heavy data to track my GitHub and stay on video calls with home"/>
    <x v="1"/>
  </r>
  <r>
    <x v="2"/>
    <x v="4"/>
    <n v="50"/>
    <s v="Haircuts,toiletries, laundry tokens, and random small personal items "/>
    <x v="1"/>
  </r>
  <r>
    <x v="2"/>
    <x v="5"/>
    <n v="50"/>
    <s v="Cold cash left untoched inside your bank app for unexpected expenses"/>
    <x v="1"/>
  </r>
  <r>
    <x v="3"/>
    <x v="6"/>
    <m/>
    <m/>
    <x v="1"/>
  </r>
  <r>
    <x v="0"/>
    <x v="0"/>
    <n v="450"/>
    <s v="A clean room in a shared student house around Headingley or Hyde park with gas, water, and electricoty included"/>
    <x v="2"/>
  </r>
  <r>
    <x v="0"/>
    <x v="1"/>
    <n v="185"/>
    <s v="Shopping majorly at Aldi and Lidl for cheap poultry/eggs,plus local african stores for your direct nigerian food stuffs"/>
    <x v="2"/>
  </r>
  <r>
    <x v="0"/>
    <x v="2"/>
    <n v="60"/>
    <s v="A fully monthly unlimited student bus pass to glide you from your house straight to the leeds trinity campus"/>
    <x v="2"/>
  </r>
  <r>
    <x v="0"/>
    <x v="3"/>
    <n v="15"/>
    <s v="A Flexible monthly rolling plan (like VOXI or giffgaff) giving you heavy data to track my GitHub and stay on video calls with home"/>
    <x v="2"/>
  </r>
  <r>
    <x v="0"/>
    <x v="4"/>
    <n v="50"/>
    <s v="Haircuts,toiletries, laundry tokens, and random small personal items "/>
    <x v="2"/>
  </r>
  <r>
    <x v="0"/>
    <x v="5"/>
    <n v="50"/>
    <s v="Cold cash left untoched inside your bank app for unexpected expenses"/>
    <x v="2"/>
  </r>
  <r>
    <x v="0"/>
    <x v="6"/>
    <m/>
    <s v="This is the raw monthly survival target"/>
    <x v="2"/>
  </r>
  <r>
    <x v="1"/>
    <x v="0"/>
    <n v="450"/>
    <s v="A clean room in a shared student house around Headingley or Hyde park with gas, water, and electricoty included"/>
    <x v="2"/>
  </r>
  <r>
    <x v="1"/>
    <x v="1"/>
    <n v="130"/>
    <s v="Shopping majorly at Aldi and Lidl for cheap poultry/eggs,plus local african stores for your direct nigerian food stuffs"/>
    <x v="2"/>
  </r>
  <r>
    <x v="1"/>
    <x v="2"/>
    <m/>
    <s v="A fully monthly unlimited student bus pass to glide you from your house straight to the leeds trinity campus"/>
    <x v="2"/>
  </r>
  <r>
    <x v="1"/>
    <x v="3"/>
    <n v="15"/>
    <s v="A Flexible monthly rolling plan (like VOXI or giffgaff) giving you heavy data to track my GitHub and stay on video calls with home"/>
    <x v="2"/>
  </r>
  <r>
    <x v="1"/>
    <x v="4"/>
    <n v="50"/>
    <s v="Haircuts,toiletries, laundry tokens, and random small personal items "/>
    <x v="2"/>
  </r>
  <r>
    <x v="1"/>
    <x v="5"/>
    <n v="50"/>
    <s v="Cold cash left untoched inside your bank app for unexpected expenses"/>
    <x v="2"/>
  </r>
  <r>
    <x v="2"/>
    <x v="0"/>
    <n v="450"/>
    <s v="A clean room in a shared student house around Headingley or Hyde park with gas, water, and electricoty included"/>
    <x v="2"/>
  </r>
  <r>
    <x v="2"/>
    <x v="1"/>
    <n v="150"/>
    <s v="Shopping majorly at Aldi and Lidl for cheap poultry/eggs,plus local african stores for your direct nigerian food stuffs"/>
    <x v="2"/>
  </r>
  <r>
    <x v="2"/>
    <x v="2"/>
    <n v="60"/>
    <s v="A fully monthly unlimited student bus pass to glide you from your house straight to the leeds trinity campus"/>
    <x v="2"/>
  </r>
  <r>
    <x v="2"/>
    <x v="3"/>
    <n v="15"/>
    <s v="A Flexible monthly rolling plan (like VOXI or giffgaff) giving you heavy data to track my GitHub and stay on video calls with home"/>
    <x v="2"/>
  </r>
  <r>
    <x v="2"/>
    <x v="4"/>
    <n v="80"/>
    <s v="Haircuts,toiletries, laundry tokens, and random small personal items "/>
    <x v="2"/>
  </r>
  <r>
    <x v="2"/>
    <x v="5"/>
    <n v="50"/>
    <s v="Cold cash left untoched inside your bank app for unexpected expense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6-01-09T00:00:00"/>
    <x v="0"/>
    <x v="0"/>
    <x v="0"/>
    <n v="14"/>
    <n v="20"/>
  </r>
  <r>
    <d v="2026-02-09T00:00:00"/>
    <x v="1"/>
    <x v="1"/>
    <x v="1"/>
    <n v="14"/>
    <n v="20"/>
  </r>
  <r>
    <d v="2026-03-09T00:00:00"/>
    <x v="2"/>
    <x v="2"/>
    <x v="2"/>
    <n v="13"/>
    <n v="15"/>
  </r>
  <r>
    <d v="2026-04-09T00:00:00"/>
    <x v="3"/>
    <x v="3"/>
    <x v="0"/>
    <n v="14"/>
    <n v="20"/>
  </r>
  <r>
    <d v="2026-05-09T00:00:00"/>
    <x v="4"/>
    <x v="4"/>
    <x v="3"/>
    <n v="12"/>
    <n v="20"/>
  </r>
  <r>
    <d v="2026-06-09T00:00:00"/>
    <x v="5"/>
    <x v="5"/>
    <x v="4"/>
    <n v="13"/>
    <n v="20"/>
  </r>
  <r>
    <d v="2026-07-09T00:00:00"/>
    <x v="6"/>
    <x v="6"/>
    <x v="3"/>
    <n v="12"/>
    <n v="16"/>
  </r>
  <r>
    <d v="2026-08-09T00:00:00"/>
    <x v="7"/>
    <x v="0"/>
    <x v="2"/>
    <n v="14"/>
    <n v="18"/>
  </r>
  <r>
    <d v="2026-09-09T00:00:00"/>
    <x v="8"/>
    <x v="2"/>
    <x v="5"/>
    <n v="15"/>
    <n v="15"/>
  </r>
  <r>
    <s v="10/-9/2026"/>
    <x v="9"/>
    <x v="7"/>
    <x v="0"/>
    <n v="13"/>
    <n v="20"/>
  </r>
  <r>
    <d v="2026-11-09T00:00:00"/>
    <x v="0"/>
    <x v="0"/>
    <x v="0"/>
    <n v="14"/>
    <n v="20"/>
  </r>
  <r>
    <d v="2026-12-09T00:00:00"/>
    <x v="1"/>
    <x v="1"/>
    <x v="1"/>
    <n v="14"/>
    <n v="20"/>
  </r>
  <r>
    <s v="13/9/2026"/>
    <x v="2"/>
    <x v="2"/>
    <x v="2"/>
    <n v="13"/>
    <n v="15"/>
  </r>
  <r>
    <s v="14/9/2026"/>
    <x v="3"/>
    <x v="3"/>
    <x v="0"/>
    <n v="14"/>
    <n v="20"/>
  </r>
  <r>
    <s v="15/9/2026"/>
    <x v="4"/>
    <x v="4"/>
    <x v="3"/>
    <n v="12"/>
    <n v="20"/>
  </r>
  <r>
    <s v="16/9/2026"/>
    <x v="5"/>
    <x v="5"/>
    <x v="4"/>
    <n v="13"/>
    <n v="20"/>
  </r>
  <r>
    <s v="17/9/2026"/>
    <x v="6"/>
    <x v="6"/>
    <x v="3"/>
    <n v="12"/>
    <n v="16"/>
  </r>
  <r>
    <s v="18/9/2026"/>
    <x v="7"/>
    <x v="0"/>
    <x v="2"/>
    <n v="14"/>
    <n v="18"/>
  </r>
  <r>
    <s v="19/9/2026"/>
    <x v="8"/>
    <x v="2"/>
    <x v="5"/>
    <n v="15"/>
    <n v="15"/>
  </r>
  <r>
    <s v="20/9/2026"/>
    <x v="9"/>
    <x v="7"/>
    <x v="0"/>
    <n v="13"/>
    <n v="20"/>
  </r>
  <r>
    <s v="21/9/2026"/>
    <x v="0"/>
    <x v="0"/>
    <x v="0"/>
    <n v="14"/>
    <n v="20"/>
  </r>
  <r>
    <s v="22/9/2026"/>
    <x v="1"/>
    <x v="1"/>
    <x v="1"/>
    <n v="14"/>
    <n v="20"/>
  </r>
  <r>
    <s v="23/9/2026"/>
    <x v="2"/>
    <x v="2"/>
    <x v="2"/>
    <n v="13"/>
    <n v="15"/>
  </r>
  <r>
    <s v="24/9/2026"/>
    <x v="3"/>
    <x v="3"/>
    <x v="0"/>
    <n v="14"/>
    <n v="20"/>
  </r>
  <r>
    <s v="25/9/2026"/>
    <x v="4"/>
    <x v="4"/>
    <x v="3"/>
    <n v="12"/>
    <n v="20"/>
  </r>
  <r>
    <s v="26/9/2026"/>
    <x v="5"/>
    <x v="5"/>
    <x v="4"/>
    <n v="13"/>
    <n v="20"/>
  </r>
  <r>
    <s v="27/9/2026"/>
    <x v="6"/>
    <x v="6"/>
    <x v="3"/>
    <n v="12"/>
    <n v="16"/>
  </r>
  <r>
    <s v="28/9/2026"/>
    <x v="7"/>
    <x v="0"/>
    <x v="2"/>
    <n v="14"/>
    <n v="18"/>
  </r>
  <r>
    <s v="29/9/2026"/>
    <x v="8"/>
    <x v="2"/>
    <x v="5"/>
    <n v="15"/>
    <n v="15"/>
  </r>
  <r>
    <s v="30/9/2026"/>
    <x v="9"/>
    <x v="7"/>
    <x v="0"/>
    <n v="13"/>
    <n v="20"/>
  </r>
  <r>
    <d v="2026-01-10T00:00:00"/>
    <x v="0"/>
    <x v="0"/>
    <x v="0"/>
    <n v="14"/>
    <n v="20"/>
  </r>
  <r>
    <d v="2026-02-10T00:00:00"/>
    <x v="1"/>
    <x v="1"/>
    <x v="1"/>
    <n v="14"/>
    <n v="20"/>
  </r>
  <r>
    <d v="2026-03-10T00:00:00"/>
    <x v="2"/>
    <x v="2"/>
    <x v="2"/>
    <n v="13"/>
    <n v="15"/>
  </r>
  <r>
    <d v="2026-04-10T00:00:00"/>
    <x v="3"/>
    <x v="3"/>
    <x v="0"/>
    <n v="14"/>
    <n v="20"/>
  </r>
  <r>
    <d v="2026-05-10T00:00:00"/>
    <x v="4"/>
    <x v="4"/>
    <x v="3"/>
    <n v="12"/>
    <n v="20"/>
  </r>
  <r>
    <d v="2026-06-10T00:00:00"/>
    <x v="5"/>
    <x v="5"/>
    <x v="4"/>
    <n v="13"/>
    <n v="20"/>
  </r>
  <r>
    <d v="2026-07-10T00:00:00"/>
    <x v="6"/>
    <x v="6"/>
    <x v="3"/>
    <n v="12"/>
    <n v="16"/>
  </r>
  <r>
    <d v="2026-08-10T00:00:00"/>
    <x v="7"/>
    <x v="0"/>
    <x v="2"/>
    <n v="14"/>
    <n v="18"/>
  </r>
  <r>
    <d v="2026-09-10T00:00:00"/>
    <x v="8"/>
    <x v="2"/>
    <x v="5"/>
    <n v="15"/>
    <n v="15"/>
  </r>
  <r>
    <d v="2026-10-10T00:00:00"/>
    <x v="9"/>
    <x v="7"/>
    <x v="0"/>
    <n v="13"/>
    <n v="20"/>
  </r>
  <r>
    <d v="2026-11-10T00:00:00"/>
    <x v="0"/>
    <x v="0"/>
    <x v="0"/>
    <n v="14"/>
    <n v="20"/>
  </r>
  <r>
    <d v="2026-12-10T00:00:00"/>
    <x v="1"/>
    <x v="1"/>
    <x v="1"/>
    <n v="14"/>
    <n v="20"/>
  </r>
  <r>
    <s v="13/10/2026"/>
    <x v="2"/>
    <x v="2"/>
    <x v="2"/>
    <n v="13"/>
    <n v="15"/>
  </r>
  <r>
    <s v="14/10/2026"/>
    <x v="3"/>
    <x v="3"/>
    <x v="0"/>
    <n v="14"/>
    <n v="20"/>
  </r>
  <r>
    <s v="15/10/2026"/>
    <x v="4"/>
    <x v="4"/>
    <x v="3"/>
    <n v="12"/>
    <n v="20"/>
  </r>
  <r>
    <s v="16/10/2026"/>
    <x v="5"/>
    <x v="5"/>
    <x v="4"/>
    <n v="13"/>
    <n v="20"/>
  </r>
  <r>
    <s v="17/10/2026"/>
    <x v="6"/>
    <x v="6"/>
    <x v="3"/>
    <n v="12"/>
    <n v="16"/>
  </r>
  <r>
    <s v="18/10/2026"/>
    <x v="7"/>
    <x v="0"/>
    <x v="2"/>
    <n v="14"/>
    <n v="18"/>
  </r>
  <r>
    <s v="19/10/2026"/>
    <x v="8"/>
    <x v="2"/>
    <x v="5"/>
    <n v="15"/>
    <n v="15"/>
  </r>
  <r>
    <s v="20/10/2026"/>
    <x v="9"/>
    <x v="7"/>
    <x v="0"/>
    <n v="13"/>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AF2E3-397A-45EA-957A-C59D3093F8A8}"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G3:H14" firstHeaderRow="1" firstDataRow="1" firstDataCol="1"/>
  <pivotFields count="6">
    <pivotField showAll="0"/>
    <pivotField axis="axisRow" showAll="0">
      <items count="11">
        <item x="0"/>
        <item x="9"/>
        <item x="7"/>
        <item x="2"/>
        <item x="1"/>
        <item x="3"/>
        <item n="Receptionist" x="8"/>
        <item x="5"/>
        <item x="4"/>
        <item x="6"/>
        <item t="default"/>
      </items>
    </pivotField>
    <pivotField showAll="0">
      <items count="9">
        <item x="1"/>
        <item x="0"/>
        <item x="7"/>
        <item x="5"/>
        <item x="2"/>
        <item x="6"/>
        <item x="3"/>
        <item x="4"/>
        <item t="default"/>
      </items>
    </pivotField>
    <pivotField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Average of Hour Pay"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C5C6A6-83AA-4FC3-8C66-07791A7FC768}"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12" firstHeaderRow="1" firstDataRow="1" firstDataCol="1"/>
  <pivotFields count="6">
    <pivotField showAll="0"/>
    <pivotField showAll="0">
      <items count="11">
        <item x="0"/>
        <item x="9"/>
        <item x="7"/>
        <item x="2"/>
        <item x="1"/>
        <item x="3"/>
        <item x="8"/>
        <item x="5"/>
        <item x="4"/>
        <item x="6"/>
        <item t="default"/>
      </items>
    </pivotField>
    <pivotField axis="axisRow" showAll="0">
      <items count="9">
        <item x="1"/>
        <item x="0"/>
        <item x="7"/>
        <item x="5"/>
        <item x="2"/>
        <item x="6"/>
        <item x="3"/>
        <item x="4"/>
        <item t="default"/>
      </items>
    </pivotField>
    <pivotField showAll="0"/>
    <pivotField dataField="1" numFmtId="164" showAll="0"/>
    <pivotField showAll="0"/>
  </pivotFields>
  <rowFields count="1">
    <field x="2"/>
  </rowFields>
  <rowItems count="9">
    <i>
      <x/>
    </i>
    <i>
      <x v="1"/>
    </i>
    <i>
      <x v="2"/>
    </i>
    <i>
      <x v="3"/>
    </i>
    <i>
      <x v="4"/>
    </i>
    <i>
      <x v="5"/>
    </i>
    <i>
      <x v="6"/>
    </i>
    <i>
      <x v="7"/>
    </i>
    <i t="grand">
      <x/>
    </i>
  </rowItems>
  <colItems count="1">
    <i/>
  </colItems>
  <dataFields count="1">
    <dataField name="Average of Hour Pay" fld="4" subtotal="average" baseField="2"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5"/>
          </reference>
        </references>
      </pivotArea>
    </chartFormat>
    <chartFormat chart="1" format="8">
      <pivotArea type="data" outline="0" fieldPosition="0">
        <references count="2">
          <reference field="4294967294" count="1" selected="0">
            <x v="0"/>
          </reference>
          <reference field="2" count="1" selected="0">
            <x v="6"/>
          </reference>
        </references>
      </pivotArea>
    </chartFormat>
    <chartFormat chart="1" format="9">
      <pivotArea type="data" outline="0" fieldPosition="0">
        <references count="2">
          <reference field="4294967294" count="1" selected="0">
            <x v="0"/>
          </reference>
          <reference field="2" count="1" selected="0">
            <x v="7"/>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2" format="15">
      <pivotArea type="data" outline="0" fieldPosition="0">
        <references count="2">
          <reference field="4294967294" count="1" selected="0">
            <x v="0"/>
          </reference>
          <reference field="2" count="1" selected="0">
            <x v="4"/>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 chart="2" format="17">
      <pivotArea type="data" outline="0" fieldPosition="0">
        <references count="2">
          <reference field="4294967294" count="1" selected="0">
            <x v="0"/>
          </reference>
          <reference field="2" count="1" selected="0">
            <x v="6"/>
          </reference>
        </references>
      </pivotArea>
    </chartFormat>
    <chartFormat chart="2"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5C6CB-8B99-4B6B-89DA-36D57C75D029}"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6">
    <pivotField showAll="0"/>
    <pivotField showAll="0">
      <items count="11">
        <item x="0"/>
        <item x="9"/>
        <item x="7"/>
        <item x="2"/>
        <item x="1"/>
        <item x="3"/>
        <item x="8"/>
        <item x="5"/>
        <item x="4"/>
        <item x="6"/>
        <item t="default"/>
      </items>
    </pivotField>
    <pivotField showAll="0">
      <items count="9">
        <item x="1"/>
        <item x="0"/>
        <item x="7"/>
        <item x="5"/>
        <item x="2"/>
        <item x="6"/>
        <item x="3"/>
        <item x="4"/>
        <item t="default"/>
      </items>
    </pivotField>
    <pivotField axis="axisRow" showAll="0">
      <items count="7">
        <item x="0"/>
        <item x="2"/>
        <item x="5"/>
        <item x="4"/>
        <item x="3"/>
        <item x="1"/>
        <item t="default"/>
      </items>
    </pivotField>
    <pivotField dataField="1" numFmtId="164" showAll="0"/>
    <pivotField showAll="0"/>
  </pivotFields>
  <rowFields count="1">
    <field x="3"/>
  </rowFields>
  <rowItems count="7">
    <i>
      <x/>
    </i>
    <i>
      <x v="1"/>
    </i>
    <i>
      <x v="2"/>
    </i>
    <i>
      <x v="3"/>
    </i>
    <i>
      <x v="4"/>
    </i>
    <i>
      <x v="5"/>
    </i>
    <i t="grand">
      <x/>
    </i>
  </rowItems>
  <colItems count="1">
    <i/>
  </colItems>
  <dataFields count="1">
    <dataField name="Average of Hour Pay" fld="4" subtotal="average" baseField="3"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158F8-63A1-4437-9461-4BE7F9CC1246}"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K10" firstHeaderRow="1" firstDataRow="1" firstDataCol="1"/>
  <pivotFields count="6">
    <pivotField showAll="0"/>
    <pivotField dataField="1" showAll="0">
      <items count="11">
        <item x="0"/>
        <item x="9"/>
        <item x="7"/>
        <item x="2"/>
        <item x="1"/>
        <item x="3"/>
        <item x="8"/>
        <item x="5"/>
        <item x="4"/>
        <item x="6"/>
        <item t="default"/>
      </items>
    </pivotField>
    <pivotField showAll="0">
      <items count="9">
        <item x="1"/>
        <item x="0"/>
        <item x="7"/>
        <item x="5"/>
        <item x="2"/>
        <item x="6"/>
        <item x="3"/>
        <item x="4"/>
        <item t="default"/>
      </items>
    </pivotField>
    <pivotField axis="axisRow" showAll="0">
      <items count="7">
        <item x="0"/>
        <item x="2"/>
        <item x="5"/>
        <item x="4"/>
        <item x="3"/>
        <item x="1"/>
        <item t="default"/>
      </items>
    </pivotField>
    <pivotField numFmtId="164" showAll="0"/>
    <pivotField showAll="0"/>
  </pivotFields>
  <rowFields count="1">
    <field x="3"/>
  </rowFields>
  <rowItems count="7">
    <i>
      <x/>
    </i>
    <i>
      <x v="1"/>
    </i>
    <i>
      <x v="2"/>
    </i>
    <i>
      <x v="3"/>
    </i>
    <i>
      <x v="4"/>
    </i>
    <i>
      <x v="5"/>
    </i>
    <i t="grand">
      <x/>
    </i>
  </rowItems>
  <colItems count="1">
    <i/>
  </colItems>
  <dataFields count="1">
    <dataField name="Count of Job Role"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625D1-CF95-4DF4-A02E-240F22378452}"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10" firstHeaderRow="1" firstDataRow="1" firstDataCol="1"/>
  <pivotFields count="4">
    <pivotField showAll="0"/>
    <pivotField showAll="0"/>
    <pivotField dataField="1" showAll="0"/>
    <pivotField axis="axisRow" showAll="0">
      <items count="7">
        <item x="1"/>
        <item x="3"/>
        <item x="0"/>
        <item x="2"/>
        <item x="4"/>
        <item x="5"/>
        <item t="default"/>
      </items>
    </pivotField>
  </pivotFields>
  <rowFields count="1">
    <field x="3"/>
  </rowFields>
  <rowItems count="7">
    <i>
      <x/>
    </i>
    <i>
      <x v="1"/>
    </i>
    <i>
      <x v="2"/>
    </i>
    <i>
      <x v="3"/>
    </i>
    <i>
      <x v="4"/>
    </i>
    <i>
      <x v="5"/>
    </i>
    <i t="grand">
      <x/>
    </i>
  </rowItems>
  <colItems count="1">
    <i/>
  </colItems>
  <dataFields count="1">
    <dataField name="Average of Gold price" fld="2" subtotal="average" baseField="3" baseItem="0"/>
  </dataFields>
  <formats count="21">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s>
  <chartFormats count="7">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3" count="1" selected="0">
            <x v="0"/>
          </reference>
        </references>
      </pivotArea>
    </chartFormat>
    <chartFormat chart="23" format="2">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2"/>
          </reference>
        </references>
      </pivotArea>
    </chartFormat>
    <chartFormat chart="23" format="4">
      <pivotArea type="data" outline="0" fieldPosition="0">
        <references count="2">
          <reference field="4294967294" count="1" selected="0">
            <x v="0"/>
          </reference>
          <reference field="3" count="1" selected="0">
            <x v="3"/>
          </reference>
        </references>
      </pivotArea>
    </chartFormat>
    <chartFormat chart="23" format="5">
      <pivotArea type="data" outline="0" fieldPosition="0">
        <references count="2">
          <reference field="4294967294" count="1" selected="0">
            <x v="0"/>
          </reference>
          <reference field="3" count="1" selected="0">
            <x v="4"/>
          </reference>
        </references>
      </pivotArea>
    </chartFormat>
    <chartFormat chart="23"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EAEE36-9BDB-45E4-A895-F44A12A8312D}"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3:F12" firstHeaderRow="1" firstDataRow="2" firstDataCol="1"/>
  <pivotFields count="5">
    <pivotField axis="axisCol" showAll="0">
      <items count="5">
        <item x="0"/>
        <item x="1"/>
        <item x="2"/>
        <item x="3"/>
        <item t="default"/>
      </items>
    </pivotField>
    <pivotField axis="axisRow" showAll="0">
      <items count="8">
        <item x="5"/>
        <item x="1"/>
        <item x="2"/>
        <item x="3"/>
        <item x="4"/>
        <item x="0"/>
        <item x="6"/>
        <item t="default"/>
      </items>
    </pivotField>
    <pivotField dataField="1" showAll="0"/>
    <pivotField showAll="0"/>
    <pivotField showAll="0">
      <items count="4">
        <item h="1" x="2"/>
        <item h="1" x="0"/>
        <item x="1"/>
        <item t="default"/>
      </items>
    </pivotField>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Monthly Amount" fld="2"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fieldPosition="0">
        <references count="1">
          <reference field="0"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chartFormats count="3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0"/>
          </reference>
        </references>
      </pivotArea>
    </chartFormat>
    <chartFormat chart="0" format="6">
      <pivotArea type="data" outline="0" fieldPosition="0">
        <references count="3">
          <reference field="4294967294" count="1" selected="0">
            <x v="0"/>
          </reference>
          <reference field="0" count="1" selected="0">
            <x v="0"/>
          </reference>
          <reference field="1" count="1" selected="0">
            <x v="1"/>
          </reference>
        </references>
      </pivotArea>
    </chartFormat>
    <chartFormat chart="0" format="7">
      <pivotArea type="data" outline="0" fieldPosition="0">
        <references count="3">
          <reference field="4294967294" count="1" selected="0">
            <x v="0"/>
          </reference>
          <reference field="0" count="1" selected="0">
            <x v="0"/>
          </reference>
          <reference field="1" count="1" selected="0">
            <x v="2"/>
          </reference>
        </references>
      </pivotArea>
    </chartFormat>
    <chartFormat chart="0" format="8">
      <pivotArea type="data" outline="0" fieldPosition="0">
        <references count="3">
          <reference field="4294967294" count="1" selected="0">
            <x v="0"/>
          </reference>
          <reference field="0" count="1" selected="0">
            <x v="0"/>
          </reference>
          <reference field="1" count="1" selected="0">
            <x v="3"/>
          </reference>
        </references>
      </pivotArea>
    </chartFormat>
    <chartFormat chart="0" format="9">
      <pivotArea type="data" outline="0" fieldPosition="0">
        <references count="3">
          <reference field="4294967294" count="1" selected="0">
            <x v="0"/>
          </reference>
          <reference field="0" count="1" selected="0">
            <x v="0"/>
          </reference>
          <reference field="1" count="1" selected="0">
            <x v="4"/>
          </reference>
        </references>
      </pivotArea>
    </chartFormat>
    <chartFormat chart="0" format="10">
      <pivotArea type="data" outline="0" fieldPosition="0">
        <references count="3">
          <reference field="4294967294" count="1" selected="0">
            <x v="0"/>
          </reference>
          <reference field="0" count="1" selected="0">
            <x v="0"/>
          </reference>
          <reference field="1" count="1" selected="0">
            <x v="5"/>
          </reference>
        </references>
      </pivotArea>
    </chartFormat>
    <chartFormat chart="0" format="11">
      <pivotArea type="data" outline="0" fieldPosition="0">
        <references count="3">
          <reference field="4294967294" count="1" selected="0">
            <x v="0"/>
          </reference>
          <reference field="0" count="1" selected="0">
            <x v="0"/>
          </reference>
          <reference field="1" count="1" selected="0">
            <x v="6"/>
          </reference>
        </references>
      </pivotArea>
    </chartFormat>
    <chartFormat chart="0" format="12">
      <pivotArea type="data" outline="0" fieldPosition="0">
        <references count="3">
          <reference field="4294967294" count="1" selected="0">
            <x v="0"/>
          </reference>
          <reference field="0" count="1" selected="0">
            <x v="1"/>
          </reference>
          <reference field="1" count="1" selected="0">
            <x v="0"/>
          </reference>
        </references>
      </pivotArea>
    </chartFormat>
    <chartFormat chart="0" format="13">
      <pivotArea type="data" outline="0" fieldPosition="0">
        <references count="3">
          <reference field="4294967294" count="1" selected="0">
            <x v="0"/>
          </reference>
          <reference field="0" count="1" selected="0">
            <x v="1"/>
          </reference>
          <reference field="1" count="1" selected="0">
            <x v="1"/>
          </reference>
        </references>
      </pivotArea>
    </chartFormat>
    <chartFormat chart="0" format="14">
      <pivotArea type="data" outline="0" fieldPosition="0">
        <references count="3">
          <reference field="4294967294" count="1" selected="0">
            <x v="0"/>
          </reference>
          <reference field="0" count="1" selected="0">
            <x v="1"/>
          </reference>
          <reference field="1" count="1" selected="0">
            <x v="2"/>
          </reference>
        </references>
      </pivotArea>
    </chartFormat>
    <chartFormat chart="0" format="15">
      <pivotArea type="data" outline="0" fieldPosition="0">
        <references count="3">
          <reference field="4294967294" count="1" selected="0">
            <x v="0"/>
          </reference>
          <reference field="0" count="1" selected="0">
            <x v="1"/>
          </reference>
          <reference field="1" count="1" selected="0">
            <x v="3"/>
          </reference>
        </references>
      </pivotArea>
    </chartFormat>
    <chartFormat chart="0" format="16">
      <pivotArea type="data" outline="0" fieldPosition="0">
        <references count="3">
          <reference field="4294967294" count="1" selected="0">
            <x v="0"/>
          </reference>
          <reference field="0" count="1" selected="0">
            <x v="1"/>
          </reference>
          <reference field="1" count="1" selected="0">
            <x v="4"/>
          </reference>
        </references>
      </pivotArea>
    </chartFormat>
    <chartFormat chart="0" format="17">
      <pivotArea type="data" outline="0" fieldPosition="0">
        <references count="3">
          <reference field="4294967294" count="1" selected="0">
            <x v="0"/>
          </reference>
          <reference field="0" count="1" selected="0">
            <x v="1"/>
          </reference>
          <reference field="1" count="1" selected="0">
            <x v="5"/>
          </reference>
        </references>
      </pivotArea>
    </chartFormat>
    <chartFormat chart="0" format="18">
      <pivotArea type="data" outline="0" fieldPosition="0">
        <references count="3">
          <reference field="4294967294" count="1" selected="0">
            <x v="0"/>
          </reference>
          <reference field="0" count="1" selected="0">
            <x v="1"/>
          </reference>
          <reference field="1" count="1" selected="0">
            <x v="6"/>
          </reference>
        </references>
      </pivotArea>
    </chartFormat>
    <chartFormat chart="0" format="19">
      <pivotArea type="data" outline="0" fieldPosition="0">
        <references count="3">
          <reference field="4294967294" count="1" selected="0">
            <x v="0"/>
          </reference>
          <reference field="0" count="1" selected="0">
            <x v="2"/>
          </reference>
          <reference field="1" count="1" selected="0">
            <x v="0"/>
          </reference>
        </references>
      </pivotArea>
    </chartFormat>
    <chartFormat chart="0" format="20">
      <pivotArea type="data" outline="0" fieldPosition="0">
        <references count="3">
          <reference field="4294967294" count="1" selected="0">
            <x v="0"/>
          </reference>
          <reference field="0" count="1" selected="0">
            <x v="2"/>
          </reference>
          <reference field="1" count="1" selected="0">
            <x v="1"/>
          </reference>
        </references>
      </pivotArea>
    </chartFormat>
    <chartFormat chart="0" format="21">
      <pivotArea type="data" outline="0" fieldPosition="0">
        <references count="3">
          <reference field="4294967294" count="1" selected="0">
            <x v="0"/>
          </reference>
          <reference field="0" count="1" selected="0">
            <x v="2"/>
          </reference>
          <reference field="1" count="1" selected="0">
            <x v="2"/>
          </reference>
        </references>
      </pivotArea>
    </chartFormat>
    <chartFormat chart="0" format="22">
      <pivotArea type="data" outline="0" fieldPosition="0">
        <references count="3">
          <reference field="4294967294" count="1" selected="0">
            <x v="0"/>
          </reference>
          <reference field="0" count="1" selected="0">
            <x v="2"/>
          </reference>
          <reference field="1" count="1" selected="0">
            <x v="3"/>
          </reference>
        </references>
      </pivotArea>
    </chartFormat>
    <chartFormat chart="0" format="23">
      <pivotArea type="data" outline="0" fieldPosition="0">
        <references count="3">
          <reference field="4294967294" count="1" selected="0">
            <x v="0"/>
          </reference>
          <reference field="0" count="1" selected="0">
            <x v="2"/>
          </reference>
          <reference field="1" count="1" selected="0">
            <x v="4"/>
          </reference>
        </references>
      </pivotArea>
    </chartFormat>
    <chartFormat chart="0" format="24">
      <pivotArea type="data" outline="0" fieldPosition="0">
        <references count="3">
          <reference field="4294967294" count="1" selected="0">
            <x v="0"/>
          </reference>
          <reference field="0" count="1" selected="0">
            <x v="2"/>
          </reference>
          <reference field="1" count="1" selected="0">
            <x v="5"/>
          </reference>
        </references>
      </pivotArea>
    </chartFormat>
    <chartFormat chart="0" format="25">
      <pivotArea type="data" outline="0" fieldPosition="0">
        <references count="3">
          <reference field="4294967294" count="1" selected="0">
            <x v="0"/>
          </reference>
          <reference field="0" count="1" selected="0">
            <x v="2"/>
          </reference>
          <reference field="1" count="1" selected="0">
            <x v="6"/>
          </reference>
        </references>
      </pivotArea>
    </chartFormat>
    <chartFormat chart="0" format="26">
      <pivotArea type="data" outline="0" fieldPosition="0">
        <references count="3">
          <reference field="4294967294" count="1" selected="0">
            <x v="0"/>
          </reference>
          <reference field="0" count="1" selected="0">
            <x v="3"/>
          </reference>
          <reference field="1" count="1" selected="0">
            <x v="0"/>
          </reference>
        </references>
      </pivotArea>
    </chartFormat>
    <chartFormat chart="0" format="27">
      <pivotArea type="data" outline="0" fieldPosition="0">
        <references count="3">
          <reference field="4294967294" count="1" selected="0">
            <x v="0"/>
          </reference>
          <reference field="0" count="1" selected="0">
            <x v="3"/>
          </reference>
          <reference field="1" count="1" selected="0">
            <x v="1"/>
          </reference>
        </references>
      </pivotArea>
    </chartFormat>
    <chartFormat chart="0" format="28">
      <pivotArea type="data" outline="0" fieldPosition="0">
        <references count="3">
          <reference field="4294967294" count="1" selected="0">
            <x v="0"/>
          </reference>
          <reference field="0" count="1" selected="0">
            <x v="3"/>
          </reference>
          <reference field="1" count="1" selected="0">
            <x v="2"/>
          </reference>
        </references>
      </pivotArea>
    </chartFormat>
    <chartFormat chart="0" format="29">
      <pivotArea type="data" outline="0" fieldPosition="0">
        <references count="3">
          <reference field="4294967294" count="1" selected="0">
            <x v="0"/>
          </reference>
          <reference field="0" count="1" selected="0">
            <x v="3"/>
          </reference>
          <reference field="1" count="1" selected="0">
            <x v="3"/>
          </reference>
        </references>
      </pivotArea>
    </chartFormat>
    <chartFormat chart="0" format="30">
      <pivotArea type="data" outline="0" fieldPosition="0">
        <references count="3">
          <reference field="4294967294" count="1" selected="0">
            <x v="0"/>
          </reference>
          <reference field="0" count="1" selected="0">
            <x v="3"/>
          </reference>
          <reference field="1" count="1" selected="0">
            <x v="4"/>
          </reference>
        </references>
      </pivotArea>
    </chartFormat>
    <chartFormat chart="0" format="31">
      <pivotArea type="data" outline="0" fieldPosition="0">
        <references count="3">
          <reference field="4294967294" count="1" selected="0">
            <x v="0"/>
          </reference>
          <reference field="0" count="1" selected="0">
            <x v="3"/>
          </reference>
          <reference field="1" count="1" selected="0">
            <x v="5"/>
          </reference>
        </references>
      </pivotArea>
    </chartFormat>
    <chartFormat chart="0" format="32">
      <pivotArea type="data" outline="0" fieldPosition="0">
        <references count="3">
          <reference field="4294967294" count="1" selected="0">
            <x v="0"/>
          </reference>
          <reference field="0" count="1" selected="0">
            <x v="3"/>
          </reference>
          <reference field="1" count="1" selected="0">
            <x v="6"/>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Vibe" xr10:uid="{6CFF488A-3F82-4B6C-AE78-5C80DFB251CA}" sourceName="Market Vibe">
  <pivotTables>
    <pivotTable tabId="2" name="PivotTable1"/>
  </pivotTables>
  <data>
    <tabular pivotCacheId="1514772441">
      <items count="6">
        <i x="1" s="1"/>
        <i x="3" s="1"/>
        <i x="0" s="1"/>
        <i x="2"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35C8B4-5CBC-4214-9165-2D9DA2045676}" sourceName="Month">
  <pivotTables>
    <pivotTable tabId="5" name="PivotTable2"/>
  </pivotTables>
  <data>
    <tabular pivotCacheId="301865772">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Category" xr10:uid="{6932D84F-9009-4C8C-A762-3F78B3814E79}" sourceName=" Budget Category">
  <pivotTables>
    <pivotTable tabId="5" name="PivotTable2"/>
  </pivotTables>
  <data>
    <tabular pivotCacheId="301865772">
      <items count="7">
        <i x="5" s="1"/>
        <i x="1" s="1"/>
        <i x="2" s="1"/>
        <i x="3" s="1"/>
        <i x="4" s="1"/>
        <i x="0"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_Type" xr10:uid="{77D6205E-4603-4BBA-A930-D7DB60BAF695}" sourceName="Amount Type">
  <pivotTables>
    <pivotTable tabId="5" name="PivotTable2"/>
  </pivotTables>
  <data>
    <tabular pivotCacheId="301865772">
      <items count="3">
        <i x="2"/>
        <i x="0"/>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8B2C8AE6-A3A1-4E21-BF43-28F2908A4EB1}" sourceName="Job Role">
  <pivotTables>
    <pivotTable tabId="8" name="PivotTable5"/>
    <pivotTable tabId="8" name="PivotTable4"/>
    <pivotTable tabId="8" name="PivotTable6"/>
    <pivotTable tabId="8" name="PivotTable7"/>
  </pivotTables>
  <data>
    <tabular pivotCacheId="1651162417">
      <items count="10">
        <i x="0" s="1"/>
        <i x="9" s="1"/>
        <i x="7" s="1"/>
        <i x="2" s="1"/>
        <i x="1" s="1"/>
        <i x="3" s="1"/>
        <i x="8" s="1"/>
        <i x="5" s="1"/>
        <i x="4"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231483-1B94-467C-9A46-EA846D2E73FE}" sourceName="City">
  <pivotTables>
    <pivotTable tabId="8" name="PivotTable5"/>
    <pivotTable tabId="8" name="PivotTable4"/>
    <pivotTable tabId="8" name="PivotTable6"/>
    <pivotTable tabId="8" name="PivotTable7"/>
  </pivotTables>
  <data>
    <tabular pivotCacheId="1651162417">
      <items count="8">
        <i x="1" s="1"/>
        <i x="0" s="1"/>
        <i x="7" s="1"/>
        <i x="5" s="1"/>
        <i x="2" s="1"/>
        <i x="6"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0D2F30BF-3472-4A4A-BA42-79E16FA88F36}" cache="Slicer_Job_Role" caption="Job Role" style="SlicerStyleDark6" rowHeight="241300"/>
  <slicer name="City" xr10:uid="{C272228C-7E66-4D3A-9D1C-D64387EF1744}" cache="Slicer_City" caption="City"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Vibe" xr10:uid="{AD9634FD-3836-4B21-9E5E-B9744FB3D2FA}" cache="Slicer_Market_Vibe" caption="Market Vib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38000B2-6F1E-403A-9B7F-D9B2A2793FBA}" cache="Slicer_Month" caption="Month" style="SlicerStyleLight3" rowHeight="241300"/>
  <slicer name=" Budget Category" xr10:uid="{E65DFB1E-2A19-4097-BD3D-61AEEEF975C8}" cache="Slicer_Budget_Category" caption=" Budget Category" style="SlicerStyleDark3" rowHeight="241300"/>
  <slicer name="Amount Type" xr10:uid="{2582041B-0F8A-4A49-A75E-EAB5DD506C7D}" cache="Slicer_Amount_Type" caption="Amount Typ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5C3DF-EED1-4309-915C-F2C46938AB52}" name="Table1" displayName="Table1" ref="A1:F51" totalsRowShown="0">
  <autoFilter ref="A1:F51" xr:uid="{2EC5C3DF-EED1-4309-915C-F2C46938AB52}"/>
  <tableColumns count="6">
    <tableColumn id="1" xr3:uid="{6BEA405E-64A5-4DE9-9F27-53B8685380FB}" name="Date"/>
    <tableColumn id="2" xr3:uid="{4DE49F6F-89B5-417B-BA36-54A1BDCDBFA0}" name="Job Role"/>
    <tableColumn id="3" xr3:uid="{854C4BB7-D070-4030-944B-44C5750AE1BC}" name="City"/>
    <tableColumn id="4" xr3:uid="{94E91A04-D732-4ADE-910A-52D7E3CC55BC}" name="Industry"/>
    <tableColumn id="5" xr3:uid="{D5D76EC1-7B02-4FF7-8735-F5578A322B71}" name="Hour Pay" dataDxfId="43"/>
    <tableColumn id="6" xr3:uid="{B295B7D8-506B-4DE8-B66C-B1888467D022}" name="Hour Per Wee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43FA37-AE31-479D-928D-AC016E6E80E8}" name="Table2" displayName="Table2" ref="A1:F30" totalsRowShown="0">
  <autoFilter ref="A1:F30" xr:uid="{4D43FA37-AE31-479D-928D-AC016E6E80E8}"/>
  <tableColumns count="6">
    <tableColumn id="1" xr3:uid="{E3FFE501-B90F-435E-872E-4276FE9E40CA}" name="Date" dataDxfId="21"/>
    <tableColumn id="2" xr3:uid="{7DDECDEC-71A5-4C15-9169-57380ECB9AFA}" name="scenario"/>
    <tableColumn id="3" xr3:uid="{881B921A-3C57-4EC7-8A67-065FA4D9516A}" name="Gold price" dataDxfId="20" dataCellStyle="Currency"/>
    <tableColumn id="4" xr3:uid="{1D3194F1-95C0-4E58-A05A-7B16DDEAEC3D}" name="Market Vibe"/>
    <tableColumn id="5" xr3:uid="{731847A5-76C8-48DE-9C1D-3EC33DFED8EB}" name="Oil Impact%"/>
    <tableColumn id="6" xr3:uid="{49A325E5-ABEB-48A2-82FA-F5D74F57C817}" name="valnerabil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994B-51BF-432F-8622-DA1D80AAB6B5}">
  <dimension ref="A3:M14"/>
  <sheetViews>
    <sheetView zoomScale="75" zoomScaleNormal="75" workbookViewId="0">
      <selection activeCell="T33" sqref="T33"/>
    </sheetView>
  </sheetViews>
  <sheetFormatPr defaultRowHeight="15" x14ac:dyDescent="0.25"/>
  <cols>
    <col min="1" max="1" width="14.85546875" style="21" bestFit="1" customWidth="1"/>
    <col min="2" max="2" width="19.140625" style="21" bestFit="1" customWidth="1"/>
    <col min="3" max="3" width="9.140625" style="21"/>
    <col min="4" max="4" width="14" style="21" bestFit="1" customWidth="1"/>
    <col min="5" max="5" width="19.140625" style="21" bestFit="1" customWidth="1"/>
    <col min="6" max="6" width="9.140625" style="21"/>
    <col min="7" max="7" width="26.28515625" style="21" bestFit="1" customWidth="1"/>
    <col min="8" max="8" width="19.140625" style="21" bestFit="1" customWidth="1"/>
    <col min="9" max="9" width="9.140625" style="21"/>
    <col min="10" max="10" width="14.85546875" style="21" bestFit="1" customWidth="1"/>
    <col min="11" max="11" width="16.7109375" style="21" bestFit="1" customWidth="1"/>
    <col min="12" max="16384" width="9.140625" style="21"/>
  </cols>
  <sheetData>
    <row r="3" spans="1:13" x14ac:dyDescent="0.25">
      <c r="A3" s="12" t="s">
        <v>38</v>
      </c>
      <c r="B3" t="s">
        <v>134</v>
      </c>
      <c r="D3" s="12" t="s">
        <v>38</v>
      </c>
      <c r="E3" t="s">
        <v>134</v>
      </c>
      <c r="G3" s="12" t="s">
        <v>38</v>
      </c>
      <c r="H3" t="s">
        <v>134</v>
      </c>
      <c r="J3" s="12" t="s">
        <v>38</v>
      </c>
      <c r="K3" t="s">
        <v>135</v>
      </c>
    </row>
    <row r="4" spans="1:13" x14ac:dyDescent="0.25">
      <c r="A4" s="13" t="s">
        <v>101</v>
      </c>
      <c r="B4" s="14">
        <v>13.666666666666666</v>
      </c>
      <c r="D4" s="13" t="s">
        <v>94</v>
      </c>
      <c r="E4" s="14">
        <v>14</v>
      </c>
      <c r="G4" s="13" t="s">
        <v>83</v>
      </c>
      <c r="H4" s="14">
        <v>14</v>
      </c>
      <c r="J4" s="13" t="s">
        <v>101</v>
      </c>
      <c r="K4" s="14">
        <v>15</v>
      </c>
    </row>
    <row r="5" spans="1:13" x14ac:dyDescent="0.25">
      <c r="A5" s="13" t="s">
        <v>103</v>
      </c>
      <c r="B5" s="14">
        <v>13.5</v>
      </c>
      <c r="D5" s="13" t="s">
        <v>93</v>
      </c>
      <c r="E5" s="14">
        <v>14</v>
      </c>
      <c r="G5" s="13" t="s">
        <v>92</v>
      </c>
      <c r="H5" s="14">
        <v>13</v>
      </c>
      <c r="J5" s="13" t="s">
        <v>103</v>
      </c>
      <c r="K5" s="14">
        <v>10</v>
      </c>
    </row>
    <row r="6" spans="1:13" x14ac:dyDescent="0.25">
      <c r="A6" s="13" t="s">
        <v>106</v>
      </c>
      <c r="B6" s="14">
        <v>15</v>
      </c>
      <c r="D6" s="13" t="s">
        <v>100</v>
      </c>
      <c r="E6" s="14">
        <v>13</v>
      </c>
      <c r="G6" s="13" t="s">
        <v>90</v>
      </c>
      <c r="H6" s="14">
        <v>14</v>
      </c>
      <c r="J6" s="13" t="s">
        <v>106</v>
      </c>
      <c r="K6" s="14">
        <v>5</v>
      </c>
    </row>
    <row r="7" spans="1:13" x14ac:dyDescent="0.25">
      <c r="A7" s="13" t="s">
        <v>105</v>
      </c>
      <c r="B7" s="14">
        <v>13</v>
      </c>
      <c r="D7" s="13" t="s">
        <v>98</v>
      </c>
      <c r="E7" s="14">
        <v>13</v>
      </c>
      <c r="G7" s="13" t="s">
        <v>85</v>
      </c>
      <c r="H7" s="14">
        <v>13</v>
      </c>
      <c r="J7" s="13" t="s">
        <v>105</v>
      </c>
      <c r="K7" s="14">
        <v>5</v>
      </c>
    </row>
    <row r="8" spans="1:13" x14ac:dyDescent="0.25">
      <c r="A8" s="13" t="s">
        <v>104</v>
      </c>
      <c r="B8" s="14">
        <v>12</v>
      </c>
      <c r="D8" s="13" t="s">
        <v>95</v>
      </c>
      <c r="E8" s="14">
        <v>14</v>
      </c>
      <c r="G8" s="13" t="s">
        <v>84</v>
      </c>
      <c r="H8" s="14">
        <v>14</v>
      </c>
      <c r="J8" s="13" t="s">
        <v>104</v>
      </c>
      <c r="K8" s="14">
        <v>10</v>
      </c>
    </row>
    <row r="9" spans="1:13" x14ac:dyDescent="0.25">
      <c r="A9" s="13" t="s">
        <v>102</v>
      </c>
      <c r="B9" s="14">
        <v>14</v>
      </c>
      <c r="D9" s="13" t="s">
        <v>99</v>
      </c>
      <c r="E9" s="14">
        <v>12</v>
      </c>
      <c r="G9" s="13" t="s">
        <v>86</v>
      </c>
      <c r="H9" s="14">
        <v>14</v>
      </c>
      <c r="J9" s="13" t="s">
        <v>102</v>
      </c>
      <c r="K9" s="14">
        <v>5</v>
      </c>
    </row>
    <row r="10" spans="1:13" x14ac:dyDescent="0.25">
      <c r="A10" s="13" t="s">
        <v>40</v>
      </c>
      <c r="B10" s="14">
        <v>13.4</v>
      </c>
      <c r="D10" s="13" t="s">
        <v>96</v>
      </c>
      <c r="E10" s="14">
        <v>14</v>
      </c>
      <c r="G10" s="13" t="s">
        <v>91</v>
      </c>
      <c r="H10" s="14">
        <v>15</v>
      </c>
      <c r="J10" s="13" t="s">
        <v>40</v>
      </c>
      <c r="K10" s="14">
        <v>50</v>
      </c>
    </row>
    <row r="11" spans="1:13" x14ac:dyDescent="0.25">
      <c r="D11" s="13" t="s">
        <v>97</v>
      </c>
      <c r="E11" s="14">
        <v>12</v>
      </c>
      <c r="G11" s="13" t="s">
        <v>88</v>
      </c>
      <c r="H11" s="14">
        <v>13</v>
      </c>
      <c r="M11" s="21">
        <f>K10</f>
        <v>50</v>
      </c>
    </row>
    <row r="12" spans="1:13" x14ac:dyDescent="0.25">
      <c r="D12" s="13" t="s">
        <v>40</v>
      </c>
      <c r="E12" s="14">
        <v>13.4</v>
      </c>
      <c r="G12" s="13" t="s">
        <v>87</v>
      </c>
      <c r="H12" s="14">
        <v>12</v>
      </c>
      <c r="M12" s="22">
        <f>H14</f>
        <v>13.4</v>
      </c>
    </row>
    <row r="13" spans="1:13" x14ac:dyDescent="0.25">
      <c r="G13" s="13" t="s">
        <v>89</v>
      </c>
      <c r="H13" s="14">
        <v>12</v>
      </c>
      <c r="M13" s="21" t="str">
        <f>G10</f>
        <v>Receptionist</v>
      </c>
    </row>
    <row r="14" spans="1:13" x14ac:dyDescent="0.25">
      <c r="G14" s="13" t="s">
        <v>40</v>
      </c>
      <c r="H14" s="14">
        <v>13.4</v>
      </c>
      <c r="M14" s="21" t="str">
        <f>D7</f>
        <v>London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6B8F-85B3-4C0B-9071-EB1351685BFD}">
  <dimension ref="A1:F51"/>
  <sheetViews>
    <sheetView topLeftCell="A2" workbookViewId="0">
      <selection activeCell="B3" sqref="B3"/>
    </sheetView>
  </sheetViews>
  <sheetFormatPr defaultRowHeight="15" x14ac:dyDescent="0.25"/>
  <cols>
    <col min="1" max="1" width="10.7109375" bestFit="1" customWidth="1"/>
    <col min="2" max="2" width="10.5703125" customWidth="1"/>
    <col min="4" max="4" width="10.42578125" customWidth="1"/>
    <col min="5" max="5" width="12.42578125" style="16" customWidth="1"/>
    <col min="6" max="6" width="16.5703125" customWidth="1"/>
  </cols>
  <sheetData>
    <row r="1" spans="1:6" x14ac:dyDescent="0.25">
      <c r="A1" t="s">
        <v>0</v>
      </c>
      <c r="B1" t="s">
        <v>78</v>
      </c>
      <c r="C1" t="s">
        <v>79</v>
      </c>
      <c r="D1" t="s">
        <v>80</v>
      </c>
      <c r="E1" s="16" t="s">
        <v>81</v>
      </c>
      <c r="F1" t="s">
        <v>82</v>
      </c>
    </row>
    <row r="2" spans="1:6" x14ac:dyDescent="0.25">
      <c r="A2" s="1">
        <v>46031</v>
      </c>
      <c r="B2" t="s">
        <v>83</v>
      </c>
      <c r="C2" t="s">
        <v>93</v>
      </c>
      <c r="D2" t="s">
        <v>101</v>
      </c>
      <c r="E2" s="16">
        <v>14</v>
      </c>
      <c r="F2">
        <v>20</v>
      </c>
    </row>
    <row r="3" spans="1:6" x14ac:dyDescent="0.25">
      <c r="A3" s="1">
        <v>46062</v>
      </c>
      <c r="B3" t="s">
        <v>84</v>
      </c>
      <c r="C3" t="s">
        <v>94</v>
      </c>
      <c r="D3" t="s">
        <v>102</v>
      </c>
      <c r="E3" s="16">
        <v>14</v>
      </c>
      <c r="F3">
        <v>20</v>
      </c>
    </row>
    <row r="4" spans="1:6" x14ac:dyDescent="0.25">
      <c r="A4" s="1">
        <v>46090</v>
      </c>
      <c r="B4" t="s">
        <v>85</v>
      </c>
      <c r="C4" t="s">
        <v>95</v>
      </c>
      <c r="D4" t="s">
        <v>103</v>
      </c>
      <c r="E4" s="16">
        <v>13</v>
      </c>
      <c r="F4">
        <v>15</v>
      </c>
    </row>
    <row r="5" spans="1:6" x14ac:dyDescent="0.25">
      <c r="A5" s="1">
        <v>46121</v>
      </c>
      <c r="B5" t="s">
        <v>86</v>
      </c>
      <c r="C5" t="s">
        <v>96</v>
      </c>
      <c r="D5" t="s">
        <v>101</v>
      </c>
      <c r="E5" s="16">
        <v>14</v>
      </c>
      <c r="F5">
        <v>20</v>
      </c>
    </row>
    <row r="6" spans="1:6" x14ac:dyDescent="0.25">
      <c r="A6" s="1">
        <v>46151</v>
      </c>
      <c r="B6" t="s">
        <v>87</v>
      </c>
      <c r="C6" t="s">
        <v>97</v>
      </c>
      <c r="D6" t="s">
        <v>104</v>
      </c>
      <c r="E6" s="16">
        <v>12</v>
      </c>
      <c r="F6">
        <v>20</v>
      </c>
    </row>
    <row r="7" spans="1:6" x14ac:dyDescent="0.25">
      <c r="A7" s="1">
        <v>46182</v>
      </c>
      <c r="B7" t="s">
        <v>88</v>
      </c>
      <c r="C7" t="s">
        <v>98</v>
      </c>
      <c r="D7" t="s">
        <v>105</v>
      </c>
      <c r="E7" s="16">
        <v>13</v>
      </c>
      <c r="F7">
        <v>20</v>
      </c>
    </row>
    <row r="8" spans="1:6" x14ac:dyDescent="0.25">
      <c r="A8" s="1">
        <v>46212</v>
      </c>
      <c r="B8" t="s">
        <v>89</v>
      </c>
      <c r="C8" t="s">
        <v>99</v>
      </c>
      <c r="D8" t="s">
        <v>104</v>
      </c>
      <c r="E8" s="16">
        <v>12</v>
      </c>
      <c r="F8">
        <v>16</v>
      </c>
    </row>
    <row r="9" spans="1:6" x14ac:dyDescent="0.25">
      <c r="A9" s="1">
        <v>46243</v>
      </c>
      <c r="B9" t="s">
        <v>90</v>
      </c>
      <c r="C9" t="s">
        <v>93</v>
      </c>
      <c r="D9" t="s">
        <v>103</v>
      </c>
      <c r="E9" s="16">
        <v>14</v>
      </c>
      <c r="F9">
        <v>18</v>
      </c>
    </row>
    <row r="10" spans="1:6" x14ac:dyDescent="0.25">
      <c r="A10" s="1">
        <v>46274</v>
      </c>
      <c r="B10" t="s">
        <v>91</v>
      </c>
      <c r="C10" t="s">
        <v>95</v>
      </c>
      <c r="D10" t="s">
        <v>106</v>
      </c>
      <c r="E10" s="16">
        <v>15</v>
      </c>
      <c r="F10">
        <v>15</v>
      </c>
    </row>
    <row r="11" spans="1:6" x14ac:dyDescent="0.25">
      <c r="A11" t="s">
        <v>107</v>
      </c>
      <c r="B11" t="s">
        <v>92</v>
      </c>
      <c r="C11" t="s">
        <v>100</v>
      </c>
      <c r="D11" t="s">
        <v>101</v>
      </c>
      <c r="E11" s="16">
        <v>13</v>
      </c>
      <c r="F11">
        <v>20</v>
      </c>
    </row>
    <row r="12" spans="1:6" x14ac:dyDescent="0.25">
      <c r="A12" s="1">
        <v>46335</v>
      </c>
      <c r="B12" t="s">
        <v>83</v>
      </c>
      <c r="C12" t="s">
        <v>93</v>
      </c>
      <c r="D12" t="s">
        <v>101</v>
      </c>
      <c r="E12" s="16">
        <v>14</v>
      </c>
      <c r="F12">
        <v>20</v>
      </c>
    </row>
    <row r="13" spans="1:6" x14ac:dyDescent="0.25">
      <c r="A13" s="1">
        <v>46365</v>
      </c>
      <c r="B13" t="s">
        <v>84</v>
      </c>
      <c r="C13" t="s">
        <v>94</v>
      </c>
      <c r="D13" t="s">
        <v>102</v>
      </c>
      <c r="E13" s="16">
        <v>14</v>
      </c>
      <c r="F13">
        <v>20</v>
      </c>
    </row>
    <row r="14" spans="1:6" x14ac:dyDescent="0.25">
      <c r="A14" t="s">
        <v>108</v>
      </c>
      <c r="B14" t="s">
        <v>85</v>
      </c>
      <c r="C14" t="s">
        <v>95</v>
      </c>
      <c r="D14" t="s">
        <v>103</v>
      </c>
      <c r="E14" s="16">
        <v>13</v>
      </c>
      <c r="F14">
        <v>15</v>
      </c>
    </row>
    <row r="15" spans="1:6" x14ac:dyDescent="0.25">
      <c r="A15" t="s">
        <v>109</v>
      </c>
      <c r="B15" t="s">
        <v>86</v>
      </c>
      <c r="C15" t="s">
        <v>96</v>
      </c>
      <c r="D15" t="s">
        <v>101</v>
      </c>
      <c r="E15" s="16">
        <v>14</v>
      </c>
      <c r="F15">
        <v>20</v>
      </c>
    </row>
    <row r="16" spans="1:6" x14ac:dyDescent="0.25">
      <c r="A16" t="s">
        <v>110</v>
      </c>
      <c r="B16" t="s">
        <v>87</v>
      </c>
      <c r="C16" t="s">
        <v>97</v>
      </c>
      <c r="D16" t="s">
        <v>104</v>
      </c>
      <c r="E16" s="16">
        <v>12</v>
      </c>
      <c r="F16">
        <v>20</v>
      </c>
    </row>
    <row r="17" spans="1:6" x14ac:dyDescent="0.25">
      <c r="A17" t="s">
        <v>111</v>
      </c>
      <c r="B17" t="s">
        <v>88</v>
      </c>
      <c r="C17" t="s">
        <v>98</v>
      </c>
      <c r="D17" t="s">
        <v>105</v>
      </c>
      <c r="E17" s="16">
        <v>13</v>
      </c>
      <c r="F17">
        <v>20</v>
      </c>
    </row>
    <row r="18" spans="1:6" x14ac:dyDescent="0.25">
      <c r="A18" t="s">
        <v>112</v>
      </c>
      <c r="B18" t="s">
        <v>89</v>
      </c>
      <c r="C18" t="s">
        <v>99</v>
      </c>
      <c r="D18" t="s">
        <v>104</v>
      </c>
      <c r="E18" s="16">
        <v>12</v>
      </c>
      <c r="F18">
        <v>16</v>
      </c>
    </row>
    <row r="19" spans="1:6" x14ac:dyDescent="0.25">
      <c r="A19" t="s">
        <v>113</v>
      </c>
      <c r="B19" t="s">
        <v>90</v>
      </c>
      <c r="C19" t="s">
        <v>93</v>
      </c>
      <c r="D19" t="s">
        <v>103</v>
      </c>
      <c r="E19" s="16">
        <v>14</v>
      </c>
      <c r="F19">
        <v>18</v>
      </c>
    </row>
    <row r="20" spans="1:6" x14ac:dyDescent="0.25">
      <c r="A20" t="s">
        <v>114</v>
      </c>
      <c r="B20" t="s">
        <v>91</v>
      </c>
      <c r="C20" t="s">
        <v>95</v>
      </c>
      <c r="D20" t="s">
        <v>106</v>
      </c>
      <c r="E20" s="16">
        <v>15</v>
      </c>
      <c r="F20">
        <v>15</v>
      </c>
    </row>
    <row r="21" spans="1:6" x14ac:dyDescent="0.25">
      <c r="A21" t="s">
        <v>115</v>
      </c>
      <c r="B21" t="s">
        <v>92</v>
      </c>
      <c r="C21" t="s">
        <v>100</v>
      </c>
      <c r="D21" t="s">
        <v>101</v>
      </c>
      <c r="E21" s="16">
        <v>13</v>
      </c>
      <c r="F21">
        <v>20</v>
      </c>
    </row>
    <row r="22" spans="1:6" x14ac:dyDescent="0.25">
      <c r="A22" t="s">
        <v>116</v>
      </c>
      <c r="B22" t="s">
        <v>83</v>
      </c>
      <c r="C22" t="s">
        <v>93</v>
      </c>
      <c r="D22" t="s">
        <v>101</v>
      </c>
      <c r="E22" s="16">
        <v>14</v>
      </c>
      <c r="F22">
        <v>20</v>
      </c>
    </row>
    <row r="23" spans="1:6" x14ac:dyDescent="0.25">
      <c r="A23" t="s">
        <v>117</v>
      </c>
      <c r="B23" t="s">
        <v>84</v>
      </c>
      <c r="C23" t="s">
        <v>94</v>
      </c>
      <c r="D23" t="s">
        <v>102</v>
      </c>
      <c r="E23" s="16">
        <v>14</v>
      </c>
      <c r="F23">
        <v>20</v>
      </c>
    </row>
    <row r="24" spans="1:6" x14ac:dyDescent="0.25">
      <c r="A24" t="s">
        <v>118</v>
      </c>
      <c r="B24" t="s">
        <v>85</v>
      </c>
      <c r="C24" t="s">
        <v>95</v>
      </c>
      <c r="D24" t="s">
        <v>103</v>
      </c>
      <c r="E24" s="16">
        <v>13</v>
      </c>
      <c r="F24">
        <v>15</v>
      </c>
    </row>
    <row r="25" spans="1:6" x14ac:dyDescent="0.25">
      <c r="A25" t="s">
        <v>119</v>
      </c>
      <c r="B25" t="s">
        <v>86</v>
      </c>
      <c r="C25" t="s">
        <v>96</v>
      </c>
      <c r="D25" t="s">
        <v>101</v>
      </c>
      <c r="E25" s="16">
        <v>14</v>
      </c>
      <c r="F25">
        <v>20</v>
      </c>
    </row>
    <row r="26" spans="1:6" x14ac:dyDescent="0.25">
      <c r="A26" t="s">
        <v>120</v>
      </c>
      <c r="B26" t="s">
        <v>87</v>
      </c>
      <c r="C26" t="s">
        <v>97</v>
      </c>
      <c r="D26" t="s">
        <v>104</v>
      </c>
      <c r="E26" s="16">
        <v>12</v>
      </c>
      <c r="F26">
        <v>20</v>
      </c>
    </row>
    <row r="27" spans="1:6" x14ac:dyDescent="0.25">
      <c r="A27" t="s">
        <v>121</v>
      </c>
      <c r="B27" t="s">
        <v>88</v>
      </c>
      <c r="C27" t="s">
        <v>98</v>
      </c>
      <c r="D27" t="s">
        <v>105</v>
      </c>
      <c r="E27" s="16">
        <v>13</v>
      </c>
      <c r="F27">
        <v>20</v>
      </c>
    </row>
    <row r="28" spans="1:6" x14ac:dyDescent="0.25">
      <c r="A28" t="s">
        <v>122</v>
      </c>
      <c r="B28" t="s">
        <v>89</v>
      </c>
      <c r="C28" t="s">
        <v>99</v>
      </c>
      <c r="D28" t="s">
        <v>104</v>
      </c>
      <c r="E28" s="16">
        <v>12</v>
      </c>
      <c r="F28">
        <v>16</v>
      </c>
    </row>
    <row r="29" spans="1:6" x14ac:dyDescent="0.25">
      <c r="A29" t="s">
        <v>123</v>
      </c>
      <c r="B29" t="s">
        <v>90</v>
      </c>
      <c r="C29" t="s">
        <v>93</v>
      </c>
      <c r="D29" t="s">
        <v>103</v>
      </c>
      <c r="E29" s="16">
        <v>14</v>
      </c>
      <c r="F29">
        <v>18</v>
      </c>
    </row>
    <row r="30" spans="1:6" x14ac:dyDescent="0.25">
      <c r="A30" t="s">
        <v>124</v>
      </c>
      <c r="B30" t="s">
        <v>91</v>
      </c>
      <c r="C30" t="s">
        <v>95</v>
      </c>
      <c r="D30" t="s">
        <v>106</v>
      </c>
      <c r="E30" s="16">
        <v>15</v>
      </c>
      <c r="F30">
        <v>15</v>
      </c>
    </row>
    <row r="31" spans="1:6" x14ac:dyDescent="0.25">
      <c r="A31" t="s">
        <v>125</v>
      </c>
      <c r="B31" t="s">
        <v>92</v>
      </c>
      <c r="C31" t="s">
        <v>100</v>
      </c>
      <c r="D31" t="s">
        <v>101</v>
      </c>
      <c r="E31" s="16">
        <v>13</v>
      </c>
      <c r="F31">
        <v>20</v>
      </c>
    </row>
    <row r="32" spans="1:6" x14ac:dyDescent="0.25">
      <c r="A32" s="1">
        <v>46032</v>
      </c>
      <c r="B32" t="s">
        <v>83</v>
      </c>
      <c r="C32" t="s">
        <v>93</v>
      </c>
      <c r="D32" t="s">
        <v>101</v>
      </c>
      <c r="E32" s="16">
        <v>14</v>
      </c>
      <c r="F32">
        <v>20</v>
      </c>
    </row>
    <row r="33" spans="1:6" x14ac:dyDescent="0.25">
      <c r="A33" s="1">
        <v>46063</v>
      </c>
      <c r="B33" t="s">
        <v>84</v>
      </c>
      <c r="C33" t="s">
        <v>94</v>
      </c>
      <c r="D33" t="s">
        <v>102</v>
      </c>
      <c r="E33" s="16">
        <v>14</v>
      </c>
      <c r="F33">
        <v>20</v>
      </c>
    </row>
    <row r="34" spans="1:6" x14ac:dyDescent="0.25">
      <c r="A34" s="1">
        <v>46091</v>
      </c>
      <c r="B34" t="s">
        <v>85</v>
      </c>
      <c r="C34" t="s">
        <v>95</v>
      </c>
      <c r="D34" t="s">
        <v>103</v>
      </c>
      <c r="E34" s="16">
        <v>13</v>
      </c>
      <c r="F34">
        <v>15</v>
      </c>
    </row>
    <row r="35" spans="1:6" x14ac:dyDescent="0.25">
      <c r="A35" s="1">
        <v>46122</v>
      </c>
      <c r="B35" t="s">
        <v>86</v>
      </c>
      <c r="C35" t="s">
        <v>96</v>
      </c>
      <c r="D35" t="s">
        <v>101</v>
      </c>
      <c r="E35" s="16">
        <v>14</v>
      </c>
      <c r="F35">
        <v>20</v>
      </c>
    </row>
    <row r="36" spans="1:6" x14ac:dyDescent="0.25">
      <c r="A36" s="1">
        <v>46152</v>
      </c>
      <c r="B36" t="s">
        <v>87</v>
      </c>
      <c r="C36" t="s">
        <v>97</v>
      </c>
      <c r="D36" t="s">
        <v>104</v>
      </c>
      <c r="E36" s="16">
        <v>12</v>
      </c>
      <c r="F36">
        <v>20</v>
      </c>
    </row>
    <row r="37" spans="1:6" x14ac:dyDescent="0.25">
      <c r="A37" s="1">
        <v>46183</v>
      </c>
      <c r="B37" t="s">
        <v>88</v>
      </c>
      <c r="C37" t="s">
        <v>98</v>
      </c>
      <c r="D37" t="s">
        <v>105</v>
      </c>
      <c r="E37" s="16">
        <v>13</v>
      </c>
      <c r="F37">
        <v>20</v>
      </c>
    </row>
    <row r="38" spans="1:6" x14ac:dyDescent="0.25">
      <c r="A38" s="1">
        <v>46213</v>
      </c>
      <c r="B38" t="s">
        <v>89</v>
      </c>
      <c r="C38" t="s">
        <v>99</v>
      </c>
      <c r="D38" t="s">
        <v>104</v>
      </c>
      <c r="E38" s="16">
        <v>12</v>
      </c>
      <c r="F38">
        <v>16</v>
      </c>
    </row>
    <row r="39" spans="1:6" x14ac:dyDescent="0.25">
      <c r="A39" s="1">
        <v>46244</v>
      </c>
      <c r="B39" t="s">
        <v>90</v>
      </c>
      <c r="C39" t="s">
        <v>93</v>
      </c>
      <c r="D39" t="s">
        <v>103</v>
      </c>
      <c r="E39" s="16">
        <v>14</v>
      </c>
      <c r="F39">
        <v>18</v>
      </c>
    </row>
    <row r="40" spans="1:6" x14ac:dyDescent="0.25">
      <c r="A40" s="1">
        <v>46275</v>
      </c>
      <c r="B40" t="s">
        <v>91</v>
      </c>
      <c r="C40" t="s">
        <v>95</v>
      </c>
      <c r="D40" t="s">
        <v>106</v>
      </c>
      <c r="E40" s="16">
        <v>15</v>
      </c>
      <c r="F40">
        <v>15</v>
      </c>
    </row>
    <row r="41" spans="1:6" x14ac:dyDescent="0.25">
      <c r="A41" s="1">
        <v>46305</v>
      </c>
      <c r="B41" t="s">
        <v>92</v>
      </c>
      <c r="C41" t="s">
        <v>100</v>
      </c>
      <c r="D41" t="s">
        <v>101</v>
      </c>
      <c r="E41" s="16">
        <v>13</v>
      </c>
      <c r="F41">
        <v>20</v>
      </c>
    </row>
    <row r="42" spans="1:6" x14ac:dyDescent="0.25">
      <c r="A42" s="1">
        <v>46336</v>
      </c>
      <c r="B42" t="s">
        <v>83</v>
      </c>
      <c r="C42" t="s">
        <v>93</v>
      </c>
      <c r="D42" t="s">
        <v>101</v>
      </c>
      <c r="E42" s="16">
        <v>14</v>
      </c>
      <c r="F42">
        <v>20</v>
      </c>
    </row>
    <row r="43" spans="1:6" x14ac:dyDescent="0.25">
      <c r="A43" s="1">
        <v>46366</v>
      </c>
      <c r="B43" t="s">
        <v>84</v>
      </c>
      <c r="C43" t="s">
        <v>94</v>
      </c>
      <c r="D43" t="s">
        <v>102</v>
      </c>
      <c r="E43" s="16">
        <v>14</v>
      </c>
      <c r="F43">
        <v>20</v>
      </c>
    </row>
    <row r="44" spans="1:6" x14ac:dyDescent="0.25">
      <c r="A44" t="s">
        <v>126</v>
      </c>
      <c r="B44" t="s">
        <v>85</v>
      </c>
      <c r="C44" t="s">
        <v>95</v>
      </c>
      <c r="D44" t="s">
        <v>103</v>
      </c>
      <c r="E44" s="16">
        <v>13</v>
      </c>
      <c r="F44">
        <v>15</v>
      </c>
    </row>
    <row r="45" spans="1:6" x14ac:dyDescent="0.25">
      <c r="A45" t="s">
        <v>127</v>
      </c>
      <c r="B45" t="s">
        <v>86</v>
      </c>
      <c r="C45" t="s">
        <v>96</v>
      </c>
      <c r="D45" t="s">
        <v>101</v>
      </c>
      <c r="E45" s="16">
        <v>14</v>
      </c>
      <c r="F45">
        <v>20</v>
      </c>
    </row>
    <row r="46" spans="1:6" x14ac:dyDescent="0.25">
      <c r="A46" t="s">
        <v>128</v>
      </c>
      <c r="B46" t="s">
        <v>87</v>
      </c>
      <c r="C46" t="s">
        <v>97</v>
      </c>
      <c r="D46" t="s">
        <v>104</v>
      </c>
      <c r="E46" s="16">
        <v>12</v>
      </c>
      <c r="F46">
        <v>20</v>
      </c>
    </row>
    <row r="47" spans="1:6" x14ac:dyDescent="0.25">
      <c r="A47" t="s">
        <v>129</v>
      </c>
      <c r="B47" t="s">
        <v>88</v>
      </c>
      <c r="C47" t="s">
        <v>98</v>
      </c>
      <c r="D47" t="s">
        <v>105</v>
      </c>
      <c r="E47" s="16">
        <v>13</v>
      </c>
      <c r="F47">
        <v>20</v>
      </c>
    </row>
    <row r="48" spans="1:6" x14ac:dyDescent="0.25">
      <c r="A48" t="s">
        <v>130</v>
      </c>
      <c r="B48" t="s">
        <v>89</v>
      </c>
      <c r="C48" t="s">
        <v>99</v>
      </c>
      <c r="D48" t="s">
        <v>104</v>
      </c>
      <c r="E48" s="16">
        <v>12</v>
      </c>
      <c r="F48">
        <v>16</v>
      </c>
    </row>
    <row r="49" spans="1:6" x14ac:dyDescent="0.25">
      <c r="A49" t="s">
        <v>131</v>
      </c>
      <c r="B49" t="s">
        <v>90</v>
      </c>
      <c r="C49" t="s">
        <v>93</v>
      </c>
      <c r="D49" t="s">
        <v>103</v>
      </c>
      <c r="E49" s="16">
        <v>14</v>
      </c>
      <c r="F49">
        <v>18</v>
      </c>
    </row>
    <row r="50" spans="1:6" x14ac:dyDescent="0.25">
      <c r="A50" t="s">
        <v>132</v>
      </c>
      <c r="B50" t="s">
        <v>91</v>
      </c>
      <c r="C50" t="s">
        <v>95</v>
      </c>
      <c r="D50" t="s">
        <v>106</v>
      </c>
      <c r="E50" s="16">
        <v>15</v>
      </c>
      <c r="F50">
        <v>15</v>
      </c>
    </row>
    <row r="51" spans="1:6" x14ac:dyDescent="0.25">
      <c r="A51" t="s">
        <v>133</v>
      </c>
      <c r="B51" t="s">
        <v>92</v>
      </c>
      <c r="C51" t="s">
        <v>100</v>
      </c>
      <c r="D51" t="s">
        <v>101</v>
      </c>
      <c r="E51" s="16">
        <v>13</v>
      </c>
      <c r="F51">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86EB-0E90-473D-97C7-35BAB564CD14}">
  <sheetPr>
    <tabColor theme="1"/>
  </sheetPr>
  <dimension ref="B2:U3"/>
  <sheetViews>
    <sheetView showGridLines="0" tabSelected="1" zoomScale="60" zoomScaleNormal="60" workbookViewId="0">
      <selection activeCell="O35" sqref="O35"/>
    </sheetView>
  </sheetViews>
  <sheetFormatPr defaultRowHeight="15" x14ac:dyDescent="0.25"/>
  <cols>
    <col min="1" max="16384" width="9.140625" style="23"/>
  </cols>
  <sheetData>
    <row r="2" spans="2:21" ht="15.75" x14ac:dyDescent="0.25">
      <c r="B2" s="24" t="s">
        <v>136</v>
      </c>
      <c r="C2" s="24"/>
      <c r="D2" s="24"/>
      <c r="E2" s="24"/>
      <c r="F2" s="24"/>
      <c r="G2" s="24"/>
      <c r="H2" s="24"/>
      <c r="I2" s="24" t="s">
        <v>136</v>
      </c>
      <c r="J2" s="24"/>
      <c r="K2" s="24"/>
      <c r="L2" s="24"/>
      <c r="M2" s="24"/>
      <c r="N2" s="24"/>
      <c r="O2" s="24"/>
      <c r="P2" s="24" t="s">
        <v>136</v>
      </c>
      <c r="Q2" s="24"/>
      <c r="R2" s="24"/>
      <c r="S2" s="24"/>
      <c r="T2" s="24"/>
      <c r="U2" s="24"/>
    </row>
    <row r="3" spans="2:21" ht="15.75" x14ac:dyDescent="0.25">
      <c r="B3" s="24"/>
      <c r="C3" s="24"/>
      <c r="D3" s="24"/>
      <c r="E3" s="24"/>
      <c r="F3" s="24"/>
      <c r="G3" s="24"/>
      <c r="H3" s="24"/>
      <c r="I3" s="24"/>
      <c r="J3" s="24"/>
      <c r="K3" s="24"/>
      <c r="L3" s="24"/>
      <c r="M3" s="24"/>
      <c r="N3" s="24"/>
      <c r="O3" s="24"/>
      <c r="P3" s="24"/>
      <c r="Q3" s="24"/>
      <c r="R3" s="24"/>
      <c r="S3" s="24"/>
      <c r="T3" s="24"/>
      <c r="U3"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6CC8-F6E1-4114-80F6-605CAF484996}">
  <dimension ref="A1:P20"/>
  <sheetViews>
    <sheetView showGridLines="0" zoomScale="73" zoomScaleNormal="73" workbookViewId="0">
      <selection activeCell="Q23" sqref="Q23"/>
    </sheetView>
  </sheetViews>
  <sheetFormatPr defaultRowHeight="15" x14ac:dyDescent="0.25"/>
  <cols>
    <col min="1" max="1" width="13.140625" style="7" bestFit="1" customWidth="1"/>
    <col min="2" max="2" width="20.42578125" style="10" bestFit="1" customWidth="1"/>
    <col min="3" max="16384" width="9.140625" style="5"/>
  </cols>
  <sheetData>
    <row r="1" spans="1:3" x14ac:dyDescent="0.25">
      <c r="A1" s="6" t="s">
        <v>48</v>
      </c>
      <c r="B1" s="9"/>
      <c r="C1" s="4"/>
    </row>
    <row r="2" spans="1:3" x14ac:dyDescent="0.25">
      <c r="A2" s="6" t="s">
        <v>49</v>
      </c>
    </row>
    <row r="3" spans="1:3" x14ac:dyDescent="0.25">
      <c r="A3" s="7" t="s">
        <v>38</v>
      </c>
      <c r="B3" s="10" t="s">
        <v>41</v>
      </c>
    </row>
    <row r="4" spans="1:3" x14ac:dyDescent="0.25">
      <c r="A4" s="8" t="s">
        <v>34</v>
      </c>
      <c r="B4" s="11">
        <v>5122</v>
      </c>
    </row>
    <row r="5" spans="1:3" x14ac:dyDescent="0.25">
      <c r="A5" s="8" t="s">
        <v>36</v>
      </c>
      <c r="B5" s="11">
        <v>4626</v>
      </c>
    </row>
    <row r="6" spans="1:3" x14ac:dyDescent="0.25">
      <c r="A6" s="8" t="s">
        <v>33</v>
      </c>
      <c r="B6" s="11">
        <v>5360</v>
      </c>
    </row>
    <row r="7" spans="1:3" x14ac:dyDescent="0.25">
      <c r="A7" s="8" t="s">
        <v>35</v>
      </c>
      <c r="B7" s="11">
        <v>4920</v>
      </c>
    </row>
    <row r="8" spans="1:3" x14ac:dyDescent="0.25">
      <c r="A8" s="8" t="s">
        <v>37</v>
      </c>
      <c r="B8" s="11">
        <v>4898</v>
      </c>
      <c r="C8" s="5" t="s">
        <v>47</v>
      </c>
    </row>
    <row r="9" spans="1:3" x14ac:dyDescent="0.25">
      <c r="A9" s="8" t="s">
        <v>39</v>
      </c>
      <c r="B9" s="11"/>
    </row>
    <row r="10" spans="1:3" x14ac:dyDescent="0.25">
      <c r="A10" s="8" t="s">
        <v>40</v>
      </c>
      <c r="B10" s="11">
        <v>5052.0689655172409</v>
      </c>
    </row>
    <row r="20" spans="16:16" x14ac:dyDescent="0.25">
      <c r="P20" s="5" t="s">
        <v>50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43A9-ACD3-4030-8A0A-A7EF042FF88B}">
  <dimension ref="A1:F31"/>
  <sheetViews>
    <sheetView zoomScaleNormal="100" workbookViewId="0">
      <selection activeCell="H9" sqref="H9"/>
    </sheetView>
  </sheetViews>
  <sheetFormatPr defaultRowHeight="15" x14ac:dyDescent="0.25"/>
  <cols>
    <col min="1" max="1" width="9.7109375" bestFit="1" customWidth="1"/>
    <col min="2" max="2" width="24.140625" bestFit="1" customWidth="1"/>
    <col min="3" max="3" width="13.7109375" style="2" customWidth="1"/>
    <col min="4" max="4" width="14.140625" customWidth="1"/>
    <col min="5" max="5" width="13.7109375" customWidth="1"/>
    <col min="6" max="6" width="14.28515625" customWidth="1"/>
  </cols>
  <sheetData>
    <row r="1" spans="1:6" x14ac:dyDescent="0.25">
      <c r="A1" t="s">
        <v>0</v>
      </c>
      <c r="B1" t="s">
        <v>1</v>
      </c>
      <c r="C1" s="2" t="s">
        <v>2</v>
      </c>
      <c r="D1" t="s">
        <v>3</v>
      </c>
      <c r="E1" t="s">
        <v>42</v>
      </c>
      <c r="F1" t="s">
        <v>43</v>
      </c>
    </row>
    <row r="2" spans="1:6" x14ac:dyDescent="0.25">
      <c r="A2" s="1">
        <v>46131</v>
      </c>
      <c r="B2" t="s">
        <v>4</v>
      </c>
      <c r="C2" s="2">
        <v>5100</v>
      </c>
      <c r="D2" t="s">
        <v>33</v>
      </c>
      <c r="E2">
        <v>2.5</v>
      </c>
      <c r="F2" t="s">
        <v>44</v>
      </c>
    </row>
    <row r="3" spans="1:6" x14ac:dyDescent="0.25">
      <c r="A3" s="1">
        <v>46132</v>
      </c>
      <c r="B3" t="s">
        <v>5</v>
      </c>
      <c r="C3" s="2">
        <v>4950</v>
      </c>
      <c r="D3" t="s">
        <v>34</v>
      </c>
      <c r="E3">
        <v>1.8</v>
      </c>
      <c r="F3" t="s">
        <v>45</v>
      </c>
    </row>
    <row r="4" spans="1:6" x14ac:dyDescent="0.25">
      <c r="A4" s="1">
        <v>46133</v>
      </c>
      <c r="B4" t="s">
        <v>6</v>
      </c>
      <c r="C4" s="2">
        <v>4800</v>
      </c>
      <c r="D4" t="s">
        <v>35</v>
      </c>
      <c r="E4">
        <v>-1.2</v>
      </c>
      <c r="F4" t="s">
        <v>46</v>
      </c>
    </row>
    <row r="5" spans="1:6" x14ac:dyDescent="0.25">
      <c r="A5" s="1">
        <v>46134</v>
      </c>
      <c r="B5" t="s">
        <v>7</v>
      </c>
      <c r="C5" s="2">
        <v>5250</v>
      </c>
      <c r="D5" t="s">
        <v>33</v>
      </c>
      <c r="E5">
        <v>4.5</v>
      </c>
      <c r="F5" t="s">
        <v>44</v>
      </c>
    </row>
    <row r="6" spans="1:6" x14ac:dyDescent="0.25">
      <c r="A6" s="1">
        <v>46135</v>
      </c>
      <c r="B6" t="s">
        <v>8</v>
      </c>
      <c r="C6" s="2">
        <v>5300</v>
      </c>
      <c r="D6" t="s">
        <v>33</v>
      </c>
      <c r="E6">
        <v>5.2</v>
      </c>
      <c r="F6" t="s">
        <v>44</v>
      </c>
    </row>
    <row r="7" spans="1:6" x14ac:dyDescent="0.25">
      <c r="A7" s="1">
        <v>46136</v>
      </c>
      <c r="B7" t="s">
        <v>9</v>
      </c>
      <c r="C7" s="2">
        <v>5150</v>
      </c>
      <c r="D7" t="s">
        <v>34</v>
      </c>
      <c r="E7">
        <v>1.5</v>
      </c>
      <c r="F7" t="s">
        <v>45</v>
      </c>
    </row>
    <row r="8" spans="1:6" x14ac:dyDescent="0.25">
      <c r="A8" s="1">
        <v>46137</v>
      </c>
      <c r="B8" t="s">
        <v>10</v>
      </c>
      <c r="C8" s="2">
        <v>5000</v>
      </c>
      <c r="D8" t="s">
        <v>35</v>
      </c>
      <c r="E8">
        <v>-0.5</v>
      </c>
      <c r="F8" t="s">
        <v>44</v>
      </c>
    </row>
    <row r="9" spans="1:6" x14ac:dyDescent="0.25">
      <c r="A9" s="1">
        <v>46138</v>
      </c>
      <c r="B9" t="s">
        <v>11</v>
      </c>
      <c r="C9" s="2">
        <v>5400</v>
      </c>
      <c r="D9" t="s">
        <v>33</v>
      </c>
      <c r="E9">
        <v>5.8</v>
      </c>
      <c r="F9" t="s">
        <v>44</v>
      </c>
    </row>
    <row r="10" spans="1:6" x14ac:dyDescent="0.25">
      <c r="A10" s="1">
        <v>46139</v>
      </c>
      <c r="B10" t="s">
        <v>12</v>
      </c>
      <c r="C10" s="2">
        <v>5500</v>
      </c>
      <c r="D10" t="s">
        <v>34</v>
      </c>
      <c r="E10">
        <v>6</v>
      </c>
      <c r="F10" t="s">
        <v>45</v>
      </c>
    </row>
    <row r="11" spans="1:6" x14ac:dyDescent="0.25">
      <c r="A11" s="1">
        <v>46140</v>
      </c>
      <c r="B11" t="s">
        <v>13</v>
      </c>
      <c r="C11" s="2">
        <v>5350</v>
      </c>
      <c r="D11" t="s">
        <v>33</v>
      </c>
      <c r="E11">
        <v>6.7</v>
      </c>
      <c r="F11" t="s">
        <v>44</v>
      </c>
    </row>
    <row r="12" spans="1:6" x14ac:dyDescent="0.25">
      <c r="A12" s="1">
        <v>46141</v>
      </c>
      <c r="B12" t="s">
        <v>14</v>
      </c>
      <c r="C12" s="2">
        <v>5420</v>
      </c>
      <c r="D12" t="s">
        <v>33</v>
      </c>
      <c r="E12">
        <v>2.4</v>
      </c>
      <c r="F12" t="s">
        <v>44</v>
      </c>
    </row>
    <row r="13" spans="1:6" x14ac:dyDescent="0.25">
      <c r="A13" s="1">
        <v>46142</v>
      </c>
      <c r="B13" t="s">
        <v>15</v>
      </c>
      <c r="C13" s="2">
        <v>5600</v>
      </c>
      <c r="D13" t="s">
        <v>33</v>
      </c>
      <c r="E13">
        <v>5</v>
      </c>
      <c r="F13" t="s">
        <v>44</v>
      </c>
    </row>
    <row r="14" spans="1:6" x14ac:dyDescent="0.25">
      <c r="A14" s="1">
        <v>46143</v>
      </c>
      <c r="B14" t="s">
        <v>16</v>
      </c>
      <c r="C14" s="2">
        <v>4400</v>
      </c>
      <c r="D14" t="s">
        <v>36</v>
      </c>
      <c r="E14">
        <v>4.5999999999999996</v>
      </c>
      <c r="F14" t="s">
        <v>46</v>
      </c>
    </row>
    <row r="15" spans="1:6" x14ac:dyDescent="0.25">
      <c r="A15" s="1">
        <v>46144</v>
      </c>
      <c r="B15" t="s">
        <v>17</v>
      </c>
      <c r="C15" s="2">
        <v>4350</v>
      </c>
      <c r="D15" t="s">
        <v>36</v>
      </c>
      <c r="E15">
        <v>0.2</v>
      </c>
      <c r="F15" t="s">
        <v>46</v>
      </c>
    </row>
    <row r="16" spans="1:6" x14ac:dyDescent="0.25">
      <c r="A16" s="1">
        <v>46145</v>
      </c>
      <c r="B16" t="s">
        <v>18</v>
      </c>
      <c r="C16" s="2">
        <v>4500</v>
      </c>
      <c r="D16" t="s">
        <v>37</v>
      </c>
      <c r="E16">
        <v>4.8</v>
      </c>
      <c r="F16" t="s">
        <v>46</v>
      </c>
    </row>
    <row r="17" spans="1:6" x14ac:dyDescent="0.25">
      <c r="A17" s="1">
        <v>46146</v>
      </c>
      <c r="B17" t="s">
        <v>19</v>
      </c>
      <c r="C17" s="2">
        <v>4650</v>
      </c>
      <c r="D17" t="s">
        <v>37</v>
      </c>
      <c r="E17">
        <v>2.2999999999999998</v>
      </c>
      <c r="F17" t="s">
        <v>46</v>
      </c>
    </row>
    <row r="18" spans="1:6" x14ac:dyDescent="0.25">
      <c r="A18" s="1">
        <v>46147</v>
      </c>
      <c r="B18" t="s">
        <v>20</v>
      </c>
      <c r="C18" s="2">
        <v>4700</v>
      </c>
      <c r="D18" t="s">
        <v>35</v>
      </c>
      <c r="E18">
        <v>4.3</v>
      </c>
      <c r="F18" t="s">
        <v>45</v>
      </c>
    </row>
    <row r="19" spans="1:6" x14ac:dyDescent="0.25">
      <c r="A19" s="1">
        <v>46148</v>
      </c>
      <c r="B19" t="s">
        <v>21</v>
      </c>
      <c r="C19" s="2">
        <v>4800</v>
      </c>
      <c r="D19" t="s">
        <v>34</v>
      </c>
      <c r="E19">
        <v>3.4</v>
      </c>
      <c r="F19" t="s">
        <v>45</v>
      </c>
    </row>
    <row r="20" spans="1:6" x14ac:dyDescent="0.25">
      <c r="A20" s="1">
        <v>46149</v>
      </c>
      <c r="B20" t="s">
        <v>22</v>
      </c>
      <c r="C20" s="2">
        <v>4620</v>
      </c>
      <c r="D20" t="s">
        <v>36</v>
      </c>
      <c r="E20">
        <v>2.1</v>
      </c>
      <c r="F20" t="s">
        <v>46</v>
      </c>
    </row>
    <row r="21" spans="1:6" x14ac:dyDescent="0.25">
      <c r="A21" s="1">
        <v>46150</v>
      </c>
      <c r="B21" t="s">
        <v>23</v>
      </c>
      <c r="C21" s="2">
        <v>4780</v>
      </c>
      <c r="D21" t="s">
        <v>36</v>
      </c>
      <c r="E21">
        <v>5</v>
      </c>
      <c r="F21" t="s">
        <v>46</v>
      </c>
    </row>
    <row r="22" spans="1:6" x14ac:dyDescent="0.25">
      <c r="A22" s="1">
        <v>46151</v>
      </c>
      <c r="B22" t="s">
        <v>24</v>
      </c>
      <c r="C22" s="2">
        <v>4850</v>
      </c>
      <c r="D22" t="s">
        <v>37</v>
      </c>
      <c r="E22">
        <v>4.0999999999999996</v>
      </c>
      <c r="F22" t="s">
        <v>46</v>
      </c>
    </row>
    <row r="23" spans="1:6" x14ac:dyDescent="0.25">
      <c r="A23" s="1">
        <v>46152</v>
      </c>
      <c r="B23" t="s">
        <v>25</v>
      </c>
      <c r="C23" s="2">
        <v>5200</v>
      </c>
      <c r="D23" t="s">
        <v>37</v>
      </c>
      <c r="E23">
        <v>4.2</v>
      </c>
      <c r="F23" t="s">
        <v>44</v>
      </c>
    </row>
    <row r="24" spans="1:6" x14ac:dyDescent="0.25">
      <c r="A24" s="1">
        <v>46153</v>
      </c>
      <c r="B24" t="s">
        <v>26</v>
      </c>
      <c r="C24" s="2">
        <v>5350</v>
      </c>
      <c r="D24" t="s">
        <v>33</v>
      </c>
      <c r="E24">
        <v>4</v>
      </c>
      <c r="F24" t="s">
        <v>44</v>
      </c>
    </row>
    <row r="25" spans="1:6" x14ac:dyDescent="0.25">
      <c r="A25" s="1">
        <v>46154</v>
      </c>
      <c r="B25" t="s">
        <v>27</v>
      </c>
      <c r="C25" s="2">
        <v>5450</v>
      </c>
      <c r="D25" t="s">
        <v>33</v>
      </c>
      <c r="E25">
        <v>1.7</v>
      </c>
      <c r="F25" t="s">
        <v>44</v>
      </c>
    </row>
    <row r="26" spans="1:6" x14ac:dyDescent="0.25">
      <c r="A26" s="1">
        <v>46155</v>
      </c>
      <c r="B26" t="s">
        <v>28</v>
      </c>
      <c r="C26" s="2">
        <v>5380</v>
      </c>
      <c r="D26" t="s">
        <v>33</v>
      </c>
      <c r="E26">
        <v>6.5</v>
      </c>
      <c r="F26" t="s">
        <v>44</v>
      </c>
    </row>
    <row r="27" spans="1:6" x14ac:dyDescent="0.25">
      <c r="A27" s="1">
        <v>46156</v>
      </c>
      <c r="B27" t="s">
        <v>29</v>
      </c>
      <c r="C27" s="2">
        <v>5210</v>
      </c>
      <c r="D27" t="s">
        <v>34</v>
      </c>
      <c r="E27">
        <v>9</v>
      </c>
      <c r="F27" t="s">
        <v>44</v>
      </c>
    </row>
    <row r="28" spans="1:6" x14ac:dyDescent="0.25">
      <c r="A28" s="1">
        <v>46157</v>
      </c>
      <c r="B28" t="s">
        <v>30</v>
      </c>
      <c r="C28" s="2">
        <v>5180</v>
      </c>
      <c r="D28" t="s">
        <v>35</v>
      </c>
      <c r="E28">
        <v>7.3</v>
      </c>
      <c r="F28" t="s">
        <v>45</v>
      </c>
    </row>
    <row r="29" spans="1:6" x14ac:dyDescent="0.25">
      <c r="A29" s="1">
        <v>46158</v>
      </c>
      <c r="B29" t="s">
        <v>31</v>
      </c>
      <c r="C29" s="2">
        <v>5290</v>
      </c>
      <c r="D29" t="s">
        <v>37</v>
      </c>
      <c r="E29">
        <v>8.1999999999999993</v>
      </c>
      <c r="F29" t="s">
        <v>45</v>
      </c>
    </row>
    <row r="30" spans="1:6" x14ac:dyDescent="0.25">
      <c r="A30" s="1">
        <v>46159</v>
      </c>
      <c r="B30" t="s">
        <v>32</v>
      </c>
      <c r="C30" s="2">
        <v>4980</v>
      </c>
      <c r="D30" t="s">
        <v>36</v>
      </c>
      <c r="E30">
        <v>5.5</v>
      </c>
      <c r="F30" t="s">
        <v>46</v>
      </c>
    </row>
    <row r="31" spans="1:6" x14ac:dyDescent="0.25">
      <c r="F31"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70B3-3669-49B7-A563-32F5A0672BC7}">
  <dimension ref="A1:O19"/>
  <sheetViews>
    <sheetView showGridLines="0" zoomScale="84" zoomScaleNormal="84" workbookViewId="0">
      <selection activeCell="G6" sqref="G6"/>
    </sheetView>
  </sheetViews>
  <sheetFormatPr defaultRowHeight="15" x14ac:dyDescent="0.25"/>
  <cols>
    <col min="1" max="1" width="25.85546875" style="17" bestFit="1" customWidth="1"/>
    <col min="2" max="2" width="18.5703125" style="17" bestFit="1" customWidth="1"/>
    <col min="3" max="3" width="11" style="17" bestFit="1" customWidth="1"/>
    <col min="4" max="4" width="8.5703125" style="17" bestFit="1" customWidth="1"/>
    <col min="5" max="5" width="8.140625" style="17" bestFit="1" customWidth="1"/>
    <col min="6" max="6" width="12.7109375" style="17" bestFit="1" customWidth="1"/>
    <col min="7" max="16384" width="9.140625" style="17"/>
  </cols>
  <sheetData>
    <row r="1" spans="1:15" ht="18.75" x14ac:dyDescent="0.3">
      <c r="A1" s="20" t="s">
        <v>77</v>
      </c>
    </row>
    <row r="3" spans="1:15" x14ac:dyDescent="0.25">
      <c r="A3" s="17" t="s">
        <v>71</v>
      </c>
      <c r="B3" s="17" t="s">
        <v>72</v>
      </c>
    </row>
    <row r="4" spans="1:15" x14ac:dyDescent="0.25">
      <c r="A4" s="17" t="s">
        <v>38</v>
      </c>
      <c r="B4" s="17" t="s">
        <v>69</v>
      </c>
      <c r="C4" s="17" t="s">
        <v>70</v>
      </c>
      <c r="D4" s="17" t="s">
        <v>73</v>
      </c>
      <c r="E4" s="17" t="s">
        <v>39</v>
      </c>
      <c r="F4" s="17" t="s">
        <v>40</v>
      </c>
    </row>
    <row r="5" spans="1:15" x14ac:dyDescent="0.25">
      <c r="A5" s="18" t="s">
        <v>65</v>
      </c>
      <c r="B5" s="19">
        <v>50</v>
      </c>
      <c r="C5" s="19">
        <v>50</v>
      </c>
      <c r="D5" s="19">
        <v>50</v>
      </c>
      <c r="E5" s="19"/>
      <c r="F5" s="19">
        <v>150</v>
      </c>
    </row>
    <row r="6" spans="1:15" x14ac:dyDescent="0.25">
      <c r="A6" s="18" t="s">
        <v>57</v>
      </c>
      <c r="B6" s="19">
        <v>150</v>
      </c>
      <c r="C6" s="19">
        <v>150</v>
      </c>
      <c r="D6" s="19">
        <v>150</v>
      </c>
      <c r="E6" s="19"/>
      <c r="F6" s="19">
        <v>450</v>
      </c>
    </row>
    <row r="7" spans="1:15" x14ac:dyDescent="0.25">
      <c r="A7" s="18" t="s">
        <v>59</v>
      </c>
      <c r="B7" s="19">
        <v>60</v>
      </c>
      <c r="C7" s="19"/>
      <c r="D7" s="19">
        <v>60</v>
      </c>
      <c r="E7" s="19"/>
      <c r="F7" s="19">
        <v>120</v>
      </c>
      <c r="O7" s="17" t="s">
        <v>76</v>
      </c>
    </row>
    <row r="8" spans="1:15" x14ac:dyDescent="0.25">
      <c r="A8" s="18" t="s">
        <v>61</v>
      </c>
      <c r="B8" s="19">
        <v>15</v>
      </c>
      <c r="C8" s="19">
        <v>15</v>
      </c>
      <c r="D8" s="19">
        <v>15</v>
      </c>
      <c r="E8" s="19"/>
      <c r="F8" s="19">
        <v>45</v>
      </c>
    </row>
    <row r="9" spans="1:15" x14ac:dyDescent="0.25">
      <c r="A9" s="18" t="s">
        <v>63</v>
      </c>
      <c r="B9" s="19">
        <v>50</v>
      </c>
      <c r="C9" s="19">
        <v>50</v>
      </c>
      <c r="D9" s="19">
        <v>50</v>
      </c>
      <c r="E9" s="19"/>
      <c r="F9" s="19">
        <v>150</v>
      </c>
    </row>
    <row r="10" spans="1:15" x14ac:dyDescent="0.25">
      <c r="A10" s="18" t="s">
        <v>55</v>
      </c>
      <c r="B10" s="19"/>
      <c r="C10" s="19">
        <v>450</v>
      </c>
      <c r="D10" s="19">
        <v>450</v>
      </c>
      <c r="E10" s="19"/>
      <c r="F10" s="19">
        <v>900</v>
      </c>
    </row>
    <row r="11" spans="1:15" x14ac:dyDescent="0.25">
      <c r="A11" s="18" t="s">
        <v>39</v>
      </c>
      <c r="B11" s="19"/>
      <c r="C11" s="19"/>
      <c r="D11" s="19"/>
      <c r="E11" s="19"/>
      <c r="F11" s="19"/>
    </row>
    <row r="12" spans="1:15" x14ac:dyDescent="0.25">
      <c r="A12" s="18" t="s">
        <v>40</v>
      </c>
      <c r="B12" s="19">
        <v>325</v>
      </c>
      <c r="C12" s="19">
        <v>715</v>
      </c>
      <c r="D12" s="19">
        <v>775</v>
      </c>
      <c r="E12" s="19"/>
      <c r="F12" s="19">
        <v>1815</v>
      </c>
    </row>
    <row r="19" spans="10:10" x14ac:dyDescent="0.25">
      <c r="J19" s="17" t="s">
        <v>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7BD6-A3FE-4D51-B93C-32B05305DAC8}">
  <dimension ref="A1:F40"/>
  <sheetViews>
    <sheetView workbookViewId="0">
      <selection activeCell="B3" sqref="B3"/>
    </sheetView>
  </sheetViews>
  <sheetFormatPr defaultRowHeight="15.75" x14ac:dyDescent="0.25"/>
  <cols>
    <col min="1" max="1" width="8.42578125" customWidth="1"/>
    <col min="2" max="2" width="22" style="15" customWidth="1"/>
    <col min="3" max="3" width="15.7109375" customWidth="1"/>
  </cols>
  <sheetData>
    <row r="1" spans="1:5" x14ac:dyDescent="0.25">
      <c r="A1" t="s">
        <v>68</v>
      </c>
      <c r="B1" s="15" t="s">
        <v>52</v>
      </c>
      <c r="C1" t="s">
        <v>53</v>
      </c>
      <c r="D1" t="s">
        <v>54</v>
      </c>
      <c r="E1" t="s">
        <v>74</v>
      </c>
    </row>
    <row r="2" spans="1:5" x14ac:dyDescent="0.25">
      <c r="A2" t="s">
        <v>69</v>
      </c>
      <c r="B2" s="15" t="s">
        <v>55</v>
      </c>
      <c r="C2" s="16">
        <v>450</v>
      </c>
      <c r="D2" t="s">
        <v>56</v>
      </c>
      <c r="E2" t="s">
        <v>51</v>
      </c>
    </row>
    <row r="3" spans="1:5" x14ac:dyDescent="0.25">
      <c r="A3" t="s">
        <v>69</v>
      </c>
      <c r="B3" s="15" t="s">
        <v>57</v>
      </c>
      <c r="C3" s="16">
        <v>150</v>
      </c>
      <c r="D3" t="s">
        <v>58</v>
      </c>
    </row>
    <row r="4" spans="1:5" x14ac:dyDescent="0.25">
      <c r="A4" t="s">
        <v>69</v>
      </c>
      <c r="B4" s="15" t="s">
        <v>59</v>
      </c>
      <c r="C4" s="16">
        <v>60</v>
      </c>
      <c r="D4" t="s">
        <v>60</v>
      </c>
    </row>
    <row r="5" spans="1:5" x14ac:dyDescent="0.25">
      <c r="A5" t="s">
        <v>69</v>
      </c>
      <c r="B5" s="15" t="s">
        <v>61</v>
      </c>
      <c r="C5" s="16">
        <v>15</v>
      </c>
      <c r="D5" t="s">
        <v>62</v>
      </c>
    </row>
    <row r="6" spans="1:5" x14ac:dyDescent="0.25">
      <c r="A6" t="s">
        <v>69</v>
      </c>
      <c r="B6" s="15" t="s">
        <v>63</v>
      </c>
      <c r="C6" s="16">
        <v>50</v>
      </c>
      <c r="D6" t="s">
        <v>64</v>
      </c>
    </row>
    <row r="7" spans="1:5" x14ac:dyDescent="0.25">
      <c r="A7" t="s">
        <v>69</v>
      </c>
      <c r="B7" s="15" t="s">
        <v>65</v>
      </c>
      <c r="C7" s="16">
        <v>50</v>
      </c>
      <c r="D7" t="s">
        <v>66</v>
      </c>
    </row>
    <row r="8" spans="1:5" x14ac:dyDescent="0.25">
      <c r="A8" t="s">
        <v>69</v>
      </c>
      <c r="C8" s="16"/>
      <c r="D8" t="s">
        <v>67</v>
      </c>
    </row>
    <row r="9" spans="1:5" x14ac:dyDescent="0.25">
      <c r="A9" t="s">
        <v>70</v>
      </c>
      <c r="B9" s="15" t="s">
        <v>55</v>
      </c>
      <c r="C9" s="16">
        <v>450</v>
      </c>
      <c r="D9" t="s">
        <v>56</v>
      </c>
    </row>
    <row r="10" spans="1:5" x14ac:dyDescent="0.25">
      <c r="A10" t="s">
        <v>70</v>
      </c>
      <c r="B10" s="15" t="s">
        <v>57</v>
      </c>
      <c r="C10" s="16">
        <v>150</v>
      </c>
      <c r="D10" t="s">
        <v>58</v>
      </c>
    </row>
    <row r="11" spans="1:5" x14ac:dyDescent="0.25">
      <c r="A11" t="s">
        <v>70</v>
      </c>
      <c r="B11" s="15" t="s">
        <v>59</v>
      </c>
      <c r="C11" s="16"/>
      <c r="D11" t="s">
        <v>60</v>
      </c>
    </row>
    <row r="12" spans="1:5" x14ac:dyDescent="0.25">
      <c r="A12" t="s">
        <v>70</v>
      </c>
      <c r="B12" s="15" t="s">
        <v>61</v>
      </c>
      <c r="C12" s="16">
        <v>15</v>
      </c>
      <c r="D12" t="s">
        <v>62</v>
      </c>
    </row>
    <row r="13" spans="1:5" x14ac:dyDescent="0.25">
      <c r="A13" t="s">
        <v>70</v>
      </c>
      <c r="B13" s="15" t="s">
        <v>63</v>
      </c>
      <c r="C13" s="16">
        <v>50</v>
      </c>
      <c r="D13" t="s">
        <v>64</v>
      </c>
    </row>
    <row r="14" spans="1:5" x14ac:dyDescent="0.25">
      <c r="A14" t="s">
        <v>70</v>
      </c>
      <c r="B14" s="15" t="s">
        <v>65</v>
      </c>
      <c r="C14" s="16">
        <v>50</v>
      </c>
      <c r="D14" t="s">
        <v>66</v>
      </c>
    </row>
    <row r="15" spans="1:5" x14ac:dyDescent="0.25">
      <c r="A15" t="s">
        <v>73</v>
      </c>
      <c r="B15" s="15" t="s">
        <v>55</v>
      </c>
      <c r="C15" s="16">
        <v>450</v>
      </c>
      <c r="D15" t="s">
        <v>56</v>
      </c>
    </row>
    <row r="16" spans="1:5" x14ac:dyDescent="0.25">
      <c r="A16" t="s">
        <v>73</v>
      </c>
      <c r="B16" s="15" t="s">
        <v>57</v>
      </c>
      <c r="C16" s="16">
        <v>150</v>
      </c>
      <c r="D16" t="s">
        <v>58</v>
      </c>
    </row>
    <row r="17" spans="1:6" x14ac:dyDescent="0.25">
      <c r="A17" t="s">
        <v>73</v>
      </c>
      <c r="B17" s="15" t="s">
        <v>59</v>
      </c>
      <c r="C17" s="16">
        <v>60</v>
      </c>
      <c r="D17" t="s">
        <v>60</v>
      </c>
    </row>
    <row r="18" spans="1:6" x14ac:dyDescent="0.25">
      <c r="A18" t="s">
        <v>73</v>
      </c>
      <c r="B18" s="15" t="s">
        <v>61</v>
      </c>
      <c r="C18" s="16">
        <v>15</v>
      </c>
      <c r="D18" t="s">
        <v>62</v>
      </c>
    </row>
    <row r="19" spans="1:6" x14ac:dyDescent="0.25">
      <c r="A19" t="s">
        <v>73</v>
      </c>
      <c r="B19" s="15" t="s">
        <v>63</v>
      </c>
      <c r="C19" s="16">
        <v>50</v>
      </c>
      <c r="D19" t="s">
        <v>64</v>
      </c>
    </row>
    <row r="20" spans="1:6" x14ac:dyDescent="0.25">
      <c r="A20" t="s">
        <v>73</v>
      </c>
      <c r="B20" s="15" t="s">
        <v>65</v>
      </c>
      <c r="C20" s="16">
        <v>50</v>
      </c>
      <c r="D20" t="s">
        <v>66</v>
      </c>
    </row>
    <row r="22" spans="1:6" x14ac:dyDescent="0.25">
      <c r="A22" t="s">
        <v>69</v>
      </c>
      <c r="B22" s="15" t="s">
        <v>55</v>
      </c>
      <c r="C22" s="16">
        <v>450</v>
      </c>
      <c r="D22" t="s">
        <v>56</v>
      </c>
      <c r="E22" t="s">
        <v>75</v>
      </c>
    </row>
    <row r="23" spans="1:6" x14ac:dyDescent="0.25">
      <c r="A23" t="s">
        <v>69</v>
      </c>
      <c r="B23" s="15" t="s">
        <v>57</v>
      </c>
      <c r="C23" s="16">
        <v>185</v>
      </c>
      <c r="D23" t="s">
        <v>58</v>
      </c>
      <c r="E23" t="s">
        <v>75</v>
      </c>
      <c r="F23" t="s">
        <v>75</v>
      </c>
    </row>
    <row r="24" spans="1:6" x14ac:dyDescent="0.25">
      <c r="A24" t="s">
        <v>69</v>
      </c>
      <c r="B24" s="15" t="s">
        <v>59</v>
      </c>
      <c r="C24" s="16">
        <v>60</v>
      </c>
      <c r="D24" t="s">
        <v>60</v>
      </c>
      <c r="E24" t="s">
        <v>75</v>
      </c>
      <c r="F24" t="s">
        <v>75</v>
      </c>
    </row>
    <row r="25" spans="1:6" x14ac:dyDescent="0.25">
      <c r="A25" t="s">
        <v>69</v>
      </c>
      <c r="B25" s="15" t="s">
        <v>61</v>
      </c>
      <c r="C25" s="16">
        <v>15</v>
      </c>
      <c r="D25" t="s">
        <v>62</v>
      </c>
      <c r="E25" t="s">
        <v>75</v>
      </c>
      <c r="F25" t="s">
        <v>75</v>
      </c>
    </row>
    <row r="26" spans="1:6" x14ac:dyDescent="0.25">
      <c r="A26" t="s">
        <v>69</v>
      </c>
      <c r="B26" s="15" t="s">
        <v>63</v>
      </c>
      <c r="C26" s="16">
        <v>50</v>
      </c>
      <c r="D26" t="s">
        <v>64</v>
      </c>
      <c r="E26" t="s">
        <v>75</v>
      </c>
      <c r="F26" t="s">
        <v>75</v>
      </c>
    </row>
    <row r="27" spans="1:6" x14ac:dyDescent="0.25">
      <c r="A27" t="s">
        <v>69</v>
      </c>
      <c r="B27" s="15" t="s">
        <v>65</v>
      </c>
      <c r="C27" s="16">
        <v>50</v>
      </c>
      <c r="D27" t="s">
        <v>66</v>
      </c>
      <c r="E27" t="s">
        <v>75</v>
      </c>
      <c r="F27" t="s">
        <v>75</v>
      </c>
    </row>
    <row r="28" spans="1:6" x14ac:dyDescent="0.25">
      <c r="A28" t="s">
        <v>69</v>
      </c>
      <c r="C28" s="16"/>
      <c r="D28" t="s">
        <v>67</v>
      </c>
      <c r="E28" t="s">
        <v>75</v>
      </c>
      <c r="F28" t="s">
        <v>75</v>
      </c>
    </row>
    <row r="29" spans="1:6" x14ac:dyDescent="0.25">
      <c r="A29" t="s">
        <v>70</v>
      </c>
      <c r="B29" s="15" t="s">
        <v>55</v>
      </c>
      <c r="C29" s="16">
        <v>450</v>
      </c>
      <c r="D29" t="s">
        <v>56</v>
      </c>
      <c r="E29" t="s">
        <v>75</v>
      </c>
      <c r="F29" t="s">
        <v>75</v>
      </c>
    </row>
    <row r="30" spans="1:6" x14ac:dyDescent="0.25">
      <c r="A30" t="s">
        <v>70</v>
      </c>
      <c r="B30" s="15" t="s">
        <v>57</v>
      </c>
      <c r="C30" s="16">
        <v>130</v>
      </c>
      <c r="D30" t="s">
        <v>58</v>
      </c>
      <c r="E30" t="s">
        <v>75</v>
      </c>
      <c r="F30" t="s">
        <v>75</v>
      </c>
    </row>
    <row r="31" spans="1:6" x14ac:dyDescent="0.25">
      <c r="A31" t="s">
        <v>70</v>
      </c>
      <c r="B31" s="15" t="s">
        <v>59</v>
      </c>
      <c r="C31" s="16"/>
      <c r="D31" t="s">
        <v>60</v>
      </c>
      <c r="E31" t="s">
        <v>75</v>
      </c>
      <c r="F31" t="s">
        <v>75</v>
      </c>
    </row>
    <row r="32" spans="1:6" x14ac:dyDescent="0.25">
      <c r="A32" t="s">
        <v>70</v>
      </c>
      <c r="B32" s="15" t="s">
        <v>61</v>
      </c>
      <c r="C32" s="16">
        <v>15</v>
      </c>
      <c r="D32" t="s">
        <v>62</v>
      </c>
      <c r="E32" t="s">
        <v>75</v>
      </c>
      <c r="F32" t="s">
        <v>75</v>
      </c>
    </row>
    <row r="33" spans="1:6" x14ac:dyDescent="0.25">
      <c r="A33" t="s">
        <v>70</v>
      </c>
      <c r="B33" s="15" t="s">
        <v>63</v>
      </c>
      <c r="C33" s="16">
        <v>50</v>
      </c>
      <c r="D33" t="s">
        <v>64</v>
      </c>
      <c r="E33" t="s">
        <v>75</v>
      </c>
      <c r="F33" t="s">
        <v>75</v>
      </c>
    </row>
    <row r="34" spans="1:6" x14ac:dyDescent="0.25">
      <c r="A34" t="s">
        <v>70</v>
      </c>
      <c r="B34" s="15" t="s">
        <v>65</v>
      </c>
      <c r="C34" s="16">
        <v>50</v>
      </c>
      <c r="D34" t="s">
        <v>66</v>
      </c>
      <c r="E34" t="s">
        <v>75</v>
      </c>
      <c r="F34" t="s">
        <v>75</v>
      </c>
    </row>
    <row r="35" spans="1:6" x14ac:dyDescent="0.25">
      <c r="A35" t="s">
        <v>73</v>
      </c>
      <c r="B35" s="15" t="s">
        <v>55</v>
      </c>
      <c r="C35" s="16">
        <v>450</v>
      </c>
      <c r="D35" t="s">
        <v>56</v>
      </c>
      <c r="E35" t="s">
        <v>75</v>
      </c>
      <c r="F35" t="s">
        <v>75</v>
      </c>
    </row>
    <row r="36" spans="1:6" x14ac:dyDescent="0.25">
      <c r="A36" t="s">
        <v>73</v>
      </c>
      <c r="B36" s="15" t="s">
        <v>57</v>
      </c>
      <c r="C36" s="16">
        <v>150</v>
      </c>
      <c r="D36" t="s">
        <v>58</v>
      </c>
      <c r="E36" t="s">
        <v>75</v>
      </c>
      <c r="F36" t="s">
        <v>75</v>
      </c>
    </row>
    <row r="37" spans="1:6" x14ac:dyDescent="0.25">
      <c r="A37" t="s">
        <v>73</v>
      </c>
      <c r="B37" s="15" t="s">
        <v>59</v>
      </c>
      <c r="C37" s="16">
        <v>60</v>
      </c>
      <c r="D37" t="s">
        <v>60</v>
      </c>
      <c r="E37" t="s">
        <v>75</v>
      </c>
      <c r="F37" t="s">
        <v>75</v>
      </c>
    </row>
    <row r="38" spans="1:6" x14ac:dyDescent="0.25">
      <c r="A38" t="s">
        <v>73</v>
      </c>
      <c r="B38" s="15" t="s">
        <v>61</v>
      </c>
      <c r="C38" s="16">
        <v>15</v>
      </c>
      <c r="D38" t="s">
        <v>62</v>
      </c>
      <c r="E38" t="s">
        <v>75</v>
      </c>
      <c r="F38" t="s">
        <v>75</v>
      </c>
    </row>
    <row r="39" spans="1:6" x14ac:dyDescent="0.25">
      <c r="A39" t="s">
        <v>73</v>
      </c>
      <c r="B39" s="15" t="s">
        <v>63</v>
      </c>
      <c r="C39" s="16">
        <v>80</v>
      </c>
      <c r="D39" t="s">
        <v>64</v>
      </c>
      <c r="E39" t="s">
        <v>75</v>
      </c>
      <c r="F39" t="s">
        <v>75</v>
      </c>
    </row>
    <row r="40" spans="1:6" x14ac:dyDescent="0.25">
      <c r="A40" t="s">
        <v>73</v>
      </c>
      <c r="B40" s="15" t="s">
        <v>65</v>
      </c>
      <c r="C40" s="16">
        <v>50</v>
      </c>
      <c r="D40" t="s">
        <v>66</v>
      </c>
      <c r="E40" t="s">
        <v>75</v>
      </c>
      <c r="F40"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Job Market Value</vt:lpstr>
      <vt:lpstr>Sheet4</vt:lpstr>
      <vt:lpstr>Job Market Dashboard</vt:lpstr>
      <vt:lpstr>Global c=Commodities Dashboard</vt:lpstr>
      <vt:lpstr>Sheet1</vt:lpstr>
      <vt:lpstr>UK housing and rent 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James</dc:creator>
  <cp:lastModifiedBy>Robert James</cp:lastModifiedBy>
  <cp:lastPrinted>2026-06-03T03:10:21Z</cp:lastPrinted>
  <dcterms:created xsi:type="dcterms:W3CDTF">2026-06-02T20:38:43Z</dcterms:created>
  <dcterms:modified xsi:type="dcterms:W3CDTF">2026-06-17T03:21:01Z</dcterms:modified>
</cp:coreProperties>
</file>